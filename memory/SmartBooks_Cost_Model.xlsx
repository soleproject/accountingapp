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Summary" sheetId="1" state="visible" r:id="rId1"/>
    <sheet name="2. Current Burn" sheetId="2" state="visible" r:id="rId2"/>
    <sheet name="3. 6-Mo Cash Flow" sheetId="3" state="visible" r:id="rId3"/>
    <sheet name="4. Studio Decision" sheetId="4" state="visible" r:id="rId4"/>
    <sheet name="5. Scale Costs" sheetId="5" state="visible" r:id="rId5"/>
    <sheet name="6. AI Deep Dive" sheetId="6" state="visible" r:id="rId6"/>
    <sheet name="7. Compliance + Ec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&quot;$&quot;#,##0"/>
    <numFmt numFmtId="165" formatCode="&quot;$&quot;#,##0.00"/>
    <numFmt numFmtId="166" formatCode="&quot;$&quot;#,##0&quot;/user&quot;"/>
    <numFmt numFmtId="167" formatCode="0.0&quot; months&quot;"/>
    <numFmt numFmtId="168" formatCode="&quot;$&quot;0.000&quot;/credit&quot;"/>
    <numFmt numFmtId="169" formatCode="&quot;$&quot;0.0000"/>
    <numFmt numFmtId="170" formatCode="0.0%"/>
  </numFmts>
  <fonts count="26">
    <font>
      <name val="Calibri"/>
      <family val="2"/>
      <color theme="1"/>
      <sz val="11"/>
      <scheme val="minor"/>
    </font>
    <font>
      <b val="1"/>
      <color rgb="000F172A"/>
      <sz val="16"/>
    </font>
    <font>
      <i val="1"/>
      <color rgb="0064748B"/>
      <sz val="10"/>
    </font>
    <font>
      <b val="1"/>
      <color rgb="000F172A"/>
      <sz val="10"/>
    </font>
    <font>
      <b val="1"/>
      <color rgb="00FFFFFF"/>
      <sz val="11"/>
    </font>
    <font>
      <b val="1"/>
    </font>
    <font>
      <b val="1"/>
      <color rgb="0092400E"/>
      <sz val="10"/>
    </font>
    <font>
      <b val="1"/>
      <color rgb="00B91C1C"/>
    </font>
    <font>
      <b val="1"/>
      <color rgb="00065F46"/>
    </font>
    <font>
      <b val="1"/>
      <color rgb="003730A3"/>
      <sz val="11"/>
    </font>
    <font>
      <b val="1"/>
      <color rgb="000F172A"/>
      <sz val="14"/>
    </font>
    <font>
      <b val="1"/>
      <color rgb="000F172A"/>
    </font>
    <font>
      <color rgb="0064748B"/>
      <sz val="9"/>
    </font>
    <font>
      <b val="1"/>
      <color rgb="00B45309"/>
    </font>
    <font>
      <color rgb="00B45309"/>
    </font>
    <font>
      <color rgb="00065F46"/>
    </font>
    <font>
      <b val="1"/>
      <color rgb="00713F12"/>
      <sz val="11"/>
    </font>
    <font>
      <b val="1"/>
      <color rgb="00713F12"/>
    </font>
    <font>
      <b val="1"/>
      <color rgb="00B91C1C"/>
      <sz val="14"/>
    </font>
    <font>
      <b val="1"/>
      <color rgb="00065F46"/>
      <sz val="14"/>
    </font>
    <font>
      <i val="1"/>
      <color rgb="0064748B"/>
      <sz val="9"/>
    </font>
    <font>
      <b val="1"/>
      <color rgb="00FFFFFF"/>
    </font>
    <font>
      <b val="1"/>
      <color rgb="00713F12"/>
      <sz val="14"/>
    </font>
    <font/>
    <font>
      <b val="1"/>
      <color rgb="00065F46"/>
      <sz val="12"/>
    </font>
    <font>
      <b val="1"/>
      <color rgb="00065F46"/>
      <sz val="10"/>
    </font>
  </fonts>
  <fills count="9">
    <fill>
      <patternFill/>
    </fill>
    <fill>
      <patternFill patternType="gray125"/>
    </fill>
    <fill>
      <patternFill patternType="solid">
        <fgColor rgb="00F1F5F9"/>
      </patternFill>
    </fill>
    <fill>
      <patternFill patternType="solid">
        <fgColor rgb="001F2937"/>
      </patternFill>
    </fill>
    <fill>
      <patternFill patternType="solid">
        <fgColor rgb="00FEF3C7"/>
      </patternFill>
    </fill>
    <fill>
      <patternFill patternType="solid">
        <fgColor rgb="00EEF2FF"/>
      </patternFill>
    </fill>
    <fill>
      <patternFill patternType="solid">
        <fgColor rgb="000F172A"/>
      </patternFill>
    </fill>
    <fill>
      <patternFill patternType="solid">
        <fgColor rgb="00FEF9C3"/>
      </patternFill>
    </fill>
    <fill>
      <patternFill patternType="solid">
        <fgColor rgb="00D1FA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6" fillId="4" borderId="0" pivotButton="0" quotePrefix="0" xfId="0"/>
    <xf numFmtId="164" fontId="7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5" borderId="0" pivotButton="0" quotePrefix="0" xfId="0"/>
    <xf numFmtId="0" fontId="0" fillId="0" borderId="0" applyAlignment="1" pivotButton="0" quotePrefix="0" xfId="0">
      <alignment vertical="top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  <xf numFmtId="0" fontId="4" fillId="6" borderId="0" pivotButton="0" quotePrefix="0" xfId="0"/>
    <xf numFmtId="164" fontId="4" fillId="6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7" borderId="0" pivotButton="0" quotePrefix="0" xfId="0"/>
    <xf numFmtId="164" fontId="17" fillId="7" borderId="0" pivotButton="0" quotePrefix="0" xfId="0"/>
    <xf numFmtId="167" fontId="18" fillId="0" borderId="0" pivotButton="0" quotePrefix="0" xfId="0"/>
    <xf numFmtId="167" fontId="19" fillId="0" borderId="0" pivotButton="0" quotePrefix="0" xfId="0"/>
    <xf numFmtId="0" fontId="20" fillId="0" borderId="0" pivotButton="0" quotePrefix="0" xfId="0"/>
    <xf numFmtId="164" fontId="5" fillId="0" borderId="0" pivotButton="0" quotePrefix="0" xfId="0"/>
    <xf numFmtId="3" fontId="0" fillId="0" borderId="0" pivotButton="0" quotePrefix="0" xfId="0"/>
    <xf numFmtId="164" fontId="21" fillId="6" borderId="0" pivotButton="0" quotePrefix="0" xfId="0"/>
    <xf numFmtId="164" fontId="22" fillId="7" borderId="0" pivotButton="0" quotePrefix="0" xfId="0"/>
    <xf numFmtId="0" fontId="23" fillId="0" borderId="0" pivotButton="0" quotePrefix="0" xfId="0"/>
    <xf numFmtId="168" fontId="0" fillId="0" borderId="0" pivotButton="0" quotePrefix="0" xfId="0"/>
    <xf numFmtId="167" fontId="0" fillId="0" borderId="0" pivotButton="0" quotePrefix="0" xfId="0"/>
    <xf numFmtId="164" fontId="8" fillId="0" borderId="0" pivotButton="0" quotePrefix="0" xfId="0"/>
    <xf numFmtId="0" fontId="0" fillId="0" borderId="0" applyAlignment="1" pivotButton="0" quotePrefix="0" xfId="0">
      <alignment horizontal="center"/>
    </xf>
    <xf numFmtId="164" fontId="24" fillId="0" borderId="0" pivotButton="0" quotePrefix="0" xfId="0"/>
    <xf numFmtId="164" fontId="19" fillId="0" borderId="0" pivotButton="0" quotePrefix="0" xfId="0"/>
    <xf numFmtId="0" fontId="25" fillId="8" borderId="0" pivotButton="0" quotePrefix="0" xfId="0"/>
    <xf numFmtId="0" fontId="11" fillId="2" borderId="0" pivotButton="0" quotePrefix="0" xfId="0"/>
    <xf numFmtId="0" fontId="0" fillId="2" borderId="0" pivotButton="0" quotePrefix="0" xfId="0"/>
    <xf numFmtId="165" fontId="11" fillId="0" borderId="0" pivotButton="0" quotePrefix="0" xfId="0"/>
    <xf numFmtId="169" fontId="0" fillId="0" borderId="0" pivotButton="0" quotePrefix="0" xfId="0"/>
    <xf numFmtId="170" fontId="0" fillId="0" borderId="0" pivotButton="0" quotePrefix="0" xfId="0"/>
    <xf numFmtId="170" fontId="8" fillId="0" borderId="0" pivotButton="0" quotePrefix="0" xfId="0"/>
    <xf numFmtId="17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SmartBooks — Scaling Cost Model (v2, Feb 2026)</t>
        </is>
      </c>
    </row>
    <row r="2">
      <c r="A2" s="2" t="inlineStr">
        <is>
          <t>Updated with founder's actual burn as of Feb 2026 + Emergent Studio decision analysis.</t>
        </is>
      </c>
    </row>
    <row r="4">
      <c r="A4" s="3" t="inlineStr">
        <is>
          <t>SCALE TARGETS (post-launch)</t>
        </is>
      </c>
    </row>
    <row r="5">
      <c r="A5" s="4" t="inlineStr">
        <is>
          <t>Tier</t>
        </is>
      </c>
      <c r="B5" s="4" t="inlineStr">
        <is>
          <t>All-in $/mo (mid)</t>
        </is>
      </c>
      <c r="C5" s="4" t="inlineStr">
        <is>
          <t>Cost/user</t>
        </is>
      </c>
      <c r="D5" s="4" t="inlineStr">
        <is>
          <t>Break-even ARPU</t>
        </is>
      </c>
      <c r="E5" s="4" t="inlineStr">
        <is>
          <t>Comfortable ARPU</t>
        </is>
      </c>
      <c r="F5" s="4" t="inlineStr">
        <is>
          <t>MRR @ comfortable ARPU</t>
        </is>
      </c>
    </row>
    <row r="6">
      <c r="A6" s="5" t="inlineStr">
        <is>
          <t>500 users</t>
        </is>
      </c>
      <c r="B6" s="6" t="n">
        <v>4000</v>
      </c>
      <c r="C6" s="7" t="n">
        <v>8</v>
      </c>
      <c r="D6" s="8" t="n">
        <v>16</v>
      </c>
      <c r="E6" s="8" t="n">
        <v>32</v>
      </c>
      <c r="F6" s="6" t="n">
        <v>16000</v>
      </c>
    </row>
    <row r="7">
      <c r="A7" s="5" t="inlineStr">
        <is>
          <t>1,500 users</t>
        </is>
      </c>
      <c r="B7" s="6" t="n">
        <v>11000</v>
      </c>
      <c r="C7" s="7" t="n">
        <v>7.3</v>
      </c>
      <c r="D7" s="8" t="n">
        <v>15</v>
      </c>
      <c r="E7" s="8" t="n">
        <v>29</v>
      </c>
      <c r="F7" s="6" t="n">
        <v>44000</v>
      </c>
    </row>
    <row r="8">
      <c r="A8" s="5" t="inlineStr">
        <is>
          <t>3,000 users</t>
        </is>
      </c>
      <c r="B8" s="6" t="n">
        <v>26000</v>
      </c>
      <c r="C8" s="7" t="n">
        <v>8.6</v>
      </c>
      <c r="D8" s="8" t="n">
        <v>17</v>
      </c>
      <c r="E8" s="8" t="n">
        <v>34</v>
      </c>
      <c r="F8" s="6" t="n">
        <v>103000</v>
      </c>
    </row>
    <row r="10">
      <c r="A10" s="9" t="inlineStr">
        <is>
          <t>TODAY (pre-revenue, heavy build)</t>
        </is>
      </c>
    </row>
    <row r="11">
      <c r="A11" s="5" t="inlineStr">
        <is>
          <t>Current monthly burn</t>
        </is>
      </c>
      <c r="B11" s="10" t="n">
        <v>15500</v>
      </c>
      <c r="C11" s="2" t="inlineStr">
        <is>
          <t>→ ~$186k/year pre-revenue</t>
        </is>
      </c>
    </row>
    <row r="12">
      <c r="A12" t="inlineStr">
        <is>
          <t>Runway at $100k cash</t>
        </is>
      </c>
      <c r="B12" s="11" t="inlineStr">
        <is>
          <t>≈ 6.4 months</t>
        </is>
      </c>
    </row>
    <row r="13">
      <c r="A13" t="inlineStr">
        <is>
          <t>Runway at $200k cash</t>
        </is>
      </c>
      <c r="B13" s="12" t="inlineStr">
        <is>
          <t>≈ 12.8 months</t>
        </is>
      </c>
    </row>
    <row r="15">
      <c r="A15" s="13" t="inlineStr">
        <is>
          <t>KEY INSIGHT — burn is temporarily elevated</t>
        </is>
      </c>
    </row>
    <row r="16" ht="30" customHeight="1">
      <c r="A16" s="14" t="inlineStr">
        <is>
          <t>$12k/mo of the $15.5k current burn is TEMPORARY: Emergent dev credits ($6k) + contract developers ($6k) taper as the product stabilises. True fixed floor is ~$3.5k/mo (Plaid + Veryfi + Railway + base ops). Once past heavy-build window, burn drops to ~$4-6k/mo pre-revenue baseline.</t>
        </is>
      </c>
    </row>
    <row r="17"/>
    <row r="19">
      <c r="A19" s="13" t="inlineStr">
        <is>
          <t>PITCH-DECK ONE-LINER</t>
        </is>
      </c>
    </row>
    <row r="20" ht="30" customHeight="1">
      <c r="A20" s="14" t="inlineStr">
        <is>
          <t>At 3,000 users SmartBooks spends ~$26k/mo, generates ~$100k+ MRR at $34/user ARPU, and holds 74%+ gross margin. Current pre-revenue burn ($15.5k/mo) is 40% dev velocity investment that tapers as the product stabilises.</t>
        </is>
      </c>
    </row>
    <row r="21"/>
  </sheetData>
  <mergeCells count="9">
    <mergeCell ref="A2:F2"/>
    <mergeCell ref="A10:F10"/>
    <mergeCell ref="A16:F17"/>
    <mergeCell ref="A19:F19"/>
    <mergeCell ref="A1:F1"/>
    <mergeCell ref="C11:F11"/>
    <mergeCell ref="A4:F4"/>
    <mergeCell ref="A20:F21"/>
    <mergeCell ref="A15:F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46" customWidth="1" min="4" max="4"/>
  </cols>
  <sheetData>
    <row r="1">
      <c r="A1" s="15" t="inlineStr">
        <is>
          <t>Current Monthly Burn (Feb 2026, pre-revenue)</t>
        </is>
      </c>
    </row>
    <row r="3">
      <c r="A3" s="4" t="inlineStr">
        <is>
          <t>Line item</t>
        </is>
      </c>
      <c r="B3" s="4" t="inlineStr">
        <is>
          <t>Monthly $</t>
        </is>
      </c>
      <c r="C3" s="4" t="inlineStr">
        <is>
          <t>Nature</t>
        </is>
      </c>
      <c r="D3" s="4" t="inlineStr">
        <is>
          <t>How it changes with users</t>
        </is>
      </c>
    </row>
    <row r="4">
      <c r="A4" t="inlineStr">
        <is>
          <t>Plaid — production minimum</t>
        </is>
      </c>
      <c r="B4" s="6" t="n">
        <v>1065</v>
      </c>
      <c r="C4" s="16" t="inlineStr">
        <is>
          <t>Fixed floor</t>
        </is>
      </c>
      <c r="D4" s="17" t="inlineStr">
        <is>
          <t>Constant until ~600 users, then per-item</t>
        </is>
      </c>
    </row>
    <row r="5">
      <c r="A5" t="inlineStr">
        <is>
          <t>Veryfi — OCR minimum</t>
        </is>
      </c>
      <c r="B5" s="6" t="n">
        <v>500</v>
      </c>
      <c r="C5" s="16" t="inlineStr">
        <is>
          <t>Fixed floor</t>
        </is>
      </c>
      <c r="D5" s="17" t="inlineStr">
        <is>
          <t>Constant until ~500 users, then per-scan</t>
        </is>
      </c>
    </row>
    <row r="6">
      <c r="A6" t="inlineStr">
        <is>
          <t>Emergent LLM (dev credits)</t>
        </is>
      </c>
      <c r="B6" s="6" t="n">
        <v>6000</v>
      </c>
      <c r="C6" s="18" t="inlineStr">
        <is>
          <t>Temporary</t>
        </is>
      </c>
      <c r="D6" s="17" t="inlineStr">
        <is>
          <t>Drops to $500-1,500/mo once heavy build ends</t>
        </is>
      </c>
    </row>
    <row r="7">
      <c r="A7" t="inlineStr">
        <is>
          <t>Emergent contract developers</t>
        </is>
      </c>
      <c r="B7" s="6" t="n">
        <v>6000</v>
      </c>
      <c r="C7" s="18" t="inlineStr">
        <is>
          <t>Temporary</t>
        </is>
      </c>
      <c r="D7" s="17" t="inlineStr">
        <is>
          <t>Time-bound: 3-4 more months of heavy build</t>
        </is>
      </c>
    </row>
    <row r="8">
      <c r="A8" t="inlineStr">
        <is>
          <t>Railway (backend + Redis + Atlas)</t>
        </is>
      </c>
      <c r="B8" s="6" t="n">
        <v>400</v>
      </c>
      <c r="C8" s="16" t="inlineStr">
        <is>
          <t>Fixed floor</t>
        </is>
      </c>
      <c r="D8" s="17" t="inlineStr">
        <is>
          <t>Grows linearly with users (~$0.20-0.30/user/mo)</t>
        </is>
      </c>
    </row>
    <row r="9">
      <c r="A9" t="inlineStr">
        <is>
          <t>Google Workspace (1 seat)</t>
        </is>
      </c>
      <c r="B9" s="6" t="n">
        <v>12</v>
      </c>
      <c r="C9" t="inlineStr">
        <is>
          <t>Fixed</t>
        </is>
      </c>
      <c r="D9" s="17" t="inlineStr">
        <is>
          <t>Add seat per hire</t>
        </is>
      </c>
    </row>
    <row r="10">
      <c r="A10" t="inlineStr">
        <is>
          <t>Domain renewals (amortised)</t>
        </is>
      </c>
      <c r="B10" s="6" t="n">
        <v>10</v>
      </c>
      <c r="C10" t="inlineStr">
        <is>
          <t>Fixed</t>
        </is>
      </c>
      <c r="D10" s="17" t="inlineStr">
        <is>
          <t>Constant</t>
        </is>
      </c>
    </row>
    <row r="11">
      <c r="A11" t="inlineStr">
        <is>
          <t>Sentry (free tier)</t>
        </is>
      </c>
      <c r="B11" s="6" t="n">
        <v>0</v>
      </c>
      <c r="C11" t="inlineStr">
        <is>
          <t>Fixed</t>
        </is>
      </c>
      <c r="D11" s="17" t="inlineStr">
        <is>
          <t>$29/mo once past 5k events/mo</t>
        </is>
      </c>
    </row>
    <row r="12">
      <c r="A12" t="inlineStr">
        <is>
          <t>1Password Business</t>
        </is>
      </c>
      <c r="B12" s="6" t="n">
        <v>8</v>
      </c>
      <c r="C12" t="inlineStr">
        <is>
          <t>Fixed</t>
        </is>
      </c>
      <c r="D12" s="17" t="inlineStr">
        <is>
          <t>Add seat per hire</t>
        </is>
      </c>
    </row>
    <row r="13">
      <c r="A13" t="inlineStr">
        <is>
          <t>Business insurance (amortised)</t>
        </is>
      </c>
      <c r="B13" s="6" t="n">
        <v>300</v>
      </c>
      <c r="C13" t="inlineStr">
        <is>
          <t>Fixed</t>
        </is>
      </c>
      <c r="D13" s="17" t="inlineStr">
        <is>
          <t>Reviews annually as revenue grows</t>
        </is>
      </c>
    </row>
    <row r="14">
      <c r="A14" t="inlineStr">
        <is>
          <t>Misc SaaS + tools</t>
        </is>
      </c>
      <c r="B14" s="6" t="n">
        <v>200</v>
      </c>
      <c r="C14" t="inlineStr">
        <is>
          <t>Fixed</t>
        </is>
      </c>
      <c r="D14" s="17" t="inlineStr">
        <is>
          <t>Slack, Figma, GitHub — grows with team</t>
        </is>
      </c>
    </row>
    <row r="15">
      <c r="A15" s="19" t="inlineStr">
        <is>
          <t>TOTAL BURN / MONTH</t>
        </is>
      </c>
      <c r="B15" s="20">
        <f>SUM(B4:B14)</f>
        <v/>
      </c>
      <c r="C15" s="19" t="n"/>
      <c r="D15" s="19" t="n"/>
    </row>
    <row r="17">
      <c r="A17" s="3" t="inlineStr">
        <is>
          <t>Breakdown by nature</t>
        </is>
      </c>
    </row>
    <row r="18">
      <c r="A18" t="inlineStr">
        <is>
          <t>Temporary (build velocity)</t>
        </is>
      </c>
      <c r="B18" s="6" t="n">
        <v>12000</v>
      </c>
      <c r="C18" s="21" t="inlineStr">
        <is>
          <t>Tapers by month 6-8</t>
        </is>
      </c>
    </row>
    <row r="19">
      <c r="A19" t="inlineStr">
        <is>
          <t>True fixed floor (Plaid+Veryfi+Railway+ops)</t>
        </is>
      </c>
      <c r="B19" s="6" t="n">
        <v>3495</v>
      </c>
      <c r="C19" s="22" t="inlineStr">
        <is>
          <t>Baseline pre-revenue cost</t>
        </is>
      </c>
    </row>
    <row r="22">
      <c r="A22" s="23" t="inlineStr">
        <is>
          <t>RUNWAY CALCULATOR</t>
        </is>
      </c>
    </row>
    <row r="23">
      <c r="A23" t="inlineStr">
        <is>
          <t>Cash on hand (edit this)</t>
        </is>
      </c>
      <c r="B23" s="24" t="n">
        <v>150000</v>
      </c>
    </row>
    <row r="24">
      <c r="A24" t="inlineStr">
        <is>
          <t>Months of runway @ current burn</t>
        </is>
      </c>
      <c r="B24" s="25">
        <f>B23/B15</f>
        <v/>
      </c>
    </row>
    <row r="25">
      <c r="A25" t="inlineStr">
        <is>
          <t>Months of runway @ post-build burn ($5k/mo)</t>
        </is>
      </c>
      <c r="B25" s="26">
        <f>B23/5000</f>
        <v/>
      </c>
    </row>
  </sheetData>
  <mergeCells count="3">
    <mergeCell ref="A22:D22"/>
    <mergeCell ref="A1:D1"/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6-Month Cash Flow Projection (through heavy build window + launch)</t>
        </is>
      </c>
    </row>
    <row r="2">
      <c r="A2" s="27" t="inlineStr">
        <is>
          <t>Assumes: Emergent dev tapers month 4-5; devs sunset month 5; UK launch month 3; first paid signups month 4.</t>
        </is>
      </c>
    </row>
    <row r="4">
      <c r="A4" s="4" t="inlineStr">
        <is>
          <t>Line</t>
        </is>
      </c>
      <c r="B4" s="4" t="inlineStr">
        <is>
          <t>Month 1</t>
        </is>
      </c>
      <c r="C4" s="4" t="inlineStr">
        <is>
          <t>Month 2</t>
        </is>
      </c>
      <c r="D4" s="4" t="inlineStr">
        <is>
          <t>Month 3</t>
        </is>
      </c>
      <c r="E4" s="4" t="inlineStr">
        <is>
          <t>Month 4</t>
        </is>
      </c>
      <c r="F4" s="4" t="inlineStr">
        <is>
          <t>Month 5</t>
        </is>
      </c>
      <c r="G4" s="4" t="inlineStr">
        <is>
          <t>Month 6</t>
        </is>
      </c>
      <c r="H4" s="4" t="inlineStr">
        <is>
          <t>6-mo total</t>
        </is>
      </c>
    </row>
    <row r="5">
      <c r="A5" s="3" t="inlineStr">
        <is>
          <t>COSTS</t>
        </is>
      </c>
    </row>
    <row r="6">
      <c r="A6" t="inlineStr">
        <is>
          <t>Plaid</t>
        </is>
      </c>
      <c r="B6" s="6" t="n">
        <v>1065</v>
      </c>
      <c r="C6" s="6" t="n">
        <v>1065</v>
      </c>
      <c r="D6" s="6" t="n">
        <v>1065</v>
      </c>
      <c r="E6" s="6" t="n">
        <v>1065</v>
      </c>
      <c r="F6" s="6" t="n">
        <v>1065</v>
      </c>
      <c r="G6" s="6" t="n">
        <v>1200</v>
      </c>
      <c r="H6" s="28">
        <f>SUM(B6:G6)</f>
        <v/>
      </c>
    </row>
    <row r="7">
      <c r="A7" t="inlineStr">
        <is>
          <t>Veryfi</t>
        </is>
      </c>
      <c r="B7" s="6" t="n">
        <v>500</v>
      </c>
      <c r="C7" s="6" t="n">
        <v>500</v>
      </c>
      <c r="D7" s="6" t="n">
        <v>500</v>
      </c>
      <c r="E7" s="6" t="n">
        <v>500</v>
      </c>
      <c r="F7" s="6" t="n">
        <v>500</v>
      </c>
      <c r="G7" s="6" t="n">
        <v>600</v>
      </c>
      <c r="H7" s="28">
        <f>SUM(B7:G7)</f>
        <v/>
      </c>
    </row>
    <row r="8">
      <c r="A8" t="inlineStr">
        <is>
          <t>Emergent LLM (dev credits)</t>
        </is>
      </c>
      <c r="B8" s="6" t="n">
        <v>6000</v>
      </c>
      <c r="C8" s="6" t="n">
        <v>6000</v>
      </c>
      <c r="D8" s="6" t="n">
        <v>6000</v>
      </c>
      <c r="E8" s="6" t="n">
        <v>4000</v>
      </c>
      <c r="F8" s="6" t="n">
        <v>2000</v>
      </c>
      <c r="G8" s="6" t="n">
        <v>1500</v>
      </c>
      <c r="H8" s="28">
        <f>SUM(B8:G8)</f>
        <v/>
      </c>
    </row>
    <row r="9">
      <c r="A9" t="inlineStr">
        <is>
          <t>Emergent contract devs</t>
        </is>
      </c>
      <c r="B9" s="6" t="n">
        <v>6000</v>
      </c>
      <c r="C9" s="6" t="n">
        <v>6000</v>
      </c>
      <c r="D9" s="6" t="n">
        <v>6000</v>
      </c>
      <c r="E9" s="6" t="n">
        <v>4500</v>
      </c>
      <c r="F9" s="6" t="n">
        <v>3000</v>
      </c>
      <c r="G9" s="6" t="n">
        <v>0</v>
      </c>
      <c r="H9" s="28">
        <f>SUM(B9:G9)</f>
        <v/>
      </c>
    </row>
    <row r="10">
      <c r="A10" t="inlineStr">
        <is>
          <t>Railway + Redis + Atlas</t>
        </is>
      </c>
      <c r="B10" s="6" t="n">
        <v>400</v>
      </c>
      <c r="C10" s="6" t="n">
        <v>450</v>
      </c>
      <c r="D10" s="6" t="n">
        <v>500</v>
      </c>
      <c r="E10" s="6" t="n">
        <v>550</v>
      </c>
      <c r="F10" s="6" t="n">
        <v>650</v>
      </c>
      <c r="G10" s="6" t="n">
        <v>800</v>
      </c>
      <c r="H10" s="28">
        <f>SUM(B10:G10)</f>
        <v/>
      </c>
    </row>
    <row r="11">
      <c r="A11" t="inlineStr">
        <is>
          <t>Base ops (Google, insurance, misc)</t>
        </is>
      </c>
      <c r="B11" s="6" t="n">
        <v>530</v>
      </c>
      <c r="C11" s="6" t="n">
        <v>530</v>
      </c>
      <c r="D11" s="6" t="n">
        <v>530</v>
      </c>
      <c r="E11" s="6" t="n">
        <v>530</v>
      </c>
      <c r="F11" s="6" t="n">
        <v>530</v>
      </c>
      <c r="G11" s="6" t="n">
        <v>530</v>
      </c>
      <c r="H11" s="28">
        <f>SUM(B11:G11)</f>
        <v/>
      </c>
    </row>
    <row r="12">
      <c r="A12" s="19" t="inlineStr">
        <is>
          <t>TOTAL COST / MONTH</t>
        </is>
      </c>
      <c r="B12" s="20">
        <f>SUM(B6:B11)</f>
        <v/>
      </c>
      <c r="C12" s="20">
        <f>SUM(C6:C11)</f>
        <v/>
      </c>
      <c r="D12" s="20">
        <f>SUM(D6:D11)</f>
        <v/>
      </c>
      <c r="E12" s="20">
        <f>SUM(E6:E11)</f>
        <v/>
      </c>
      <c r="F12" s="20">
        <f>SUM(F6:F11)</f>
        <v/>
      </c>
      <c r="G12" s="20">
        <f>SUM(G6:G11)</f>
        <v/>
      </c>
      <c r="H12" s="20">
        <f>SUM(H6:H11)</f>
        <v/>
      </c>
    </row>
    <row r="14">
      <c r="A14" s="3" t="inlineStr">
        <is>
          <t>REVENUE (assumes UK launch month 3, ARPU $35)</t>
        </is>
      </c>
    </row>
    <row r="15">
      <c r="A15" t="inlineStr">
        <is>
          <t>Paid users (EOM)</t>
        </is>
      </c>
      <c r="B15" s="29" t="n">
        <v>0</v>
      </c>
      <c r="C15" s="29" t="n">
        <v>0</v>
      </c>
      <c r="D15" s="29" t="n">
        <v>5</v>
      </c>
      <c r="E15" s="29" t="n">
        <v>20</v>
      </c>
      <c r="F15" s="29" t="n">
        <v>50</v>
      </c>
      <c r="G15" s="29" t="n">
        <v>100</v>
      </c>
      <c r="H15" s="29" t="n">
        <v>100</v>
      </c>
    </row>
    <row r="16">
      <c r="A16" t="inlineStr">
        <is>
          <t>MRR @ $35 ARPU</t>
        </is>
      </c>
      <c r="B16" s="6" t="n">
        <v>0</v>
      </c>
      <c r="C16" s="6" t="n">
        <v>0</v>
      </c>
      <c r="D16" s="6" t="n">
        <v>175</v>
      </c>
      <c r="E16" s="6" t="n">
        <v>700</v>
      </c>
      <c r="F16" s="6" t="n">
        <v>1750</v>
      </c>
      <c r="G16" s="6" t="n">
        <v>3500</v>
      </c>
      <c r="H16" s="6">
        <f>SUM(B16:G16)</f>
        <v/>
      </c>
    </row>
    <row r="18">
      <c r="A18" s="19" t="inlineStr">
        <is>
          <t>NET BURN / MONTH</t>
        </is>
      </c>
      <c r="B18" s="30">
        <f>B12-B16</f>
        <v/>
      </c>
      <c r="C18" s="30">
        <f>C12-C16</f>
        <v/>
      </c>
      <c r="D18" s="30">
        <f>D12-D16</f>
        <v/>
      </c>
      <c r="E18" s="30">
        <f>E12-E16</f>
        <v/>
      </c>
      <c r="F18" s="30">
        <f>F12-F16</f>
        <v/>
      </c>
      <c r="G18" s="30">
        <f>G12-G16</f>
        <v/>
      </c>
      <c r="H18" s="30">
        <f>SUM(B18:G18)</f>
        <v/>
      </c>
    </row>
    <row r="19">
      <c r="A19" t="inlineStr">
        <is>
          <t>CUMULATIVE 6-MO NET BURN</t>
        </is>
      </c>
      <c r="B19" s="10">
        <f>B18</f>
        <v/>
      </c>
      <c r="C19" s="10">
        <f>B19+C18</f>
        <v/>
      </c>
      <c r="D19" s="10">
        <f>C19+D18</f>
        <v/>
      </c>
      <c r="E19" s="10">
        <f>D19+E18</f>
        <v/>
      </c>
      <c r="F19" s="10">
        <f>E19+F18</f>
        <v/>
      </c>
      <c r="G19" s="10">
        <f>F19+G18</f>
        <v/>
      </c>
    </row>
    <row r="21">
      <c r="A21" s="23" t="inlineStr">
        <is>
          <t>CASH REQUIRED TO SURVIVE 6 MONTHS</t>
        </is>
      </c>
      <c r="B21" s="31">
        <f>G19</f>
        <v/>
      </c>
    </row>
  </sheetData>
  <mergeCells count="3">
    <mergeCell ref="A14:H1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Emergent Studio ($25k) vs. Builder ($15k) vs. PAYG</t>
        </is>
      </c>
    </row>
    <row r="3">
      <c r="A3" s="4" t="inlineStr">
        <is>
          <t>Option</t>
        </is>
      </c>
      <c r="B3" s="4" t="inlineStr">
        <is>
          <t>Cash out</t>
        </is>
      </c>
      <c r="C3" s="4" t="inlineStr">
        <is>
          <t>Credits</t>
        </is>
      </c>
      <c r="D3" s="4" t="inlineStr">
        <is>
          <t>Rate/credit</t>
        </is>
      </c>
      <c r="E3" s="4" t="inlineStr">
        <is>
          <t>Months of build covered @ $6k/mo</t>
        </is>
      </c>
    </row>
    <row r="4">
      <c r="A4" s="32" t="inlineStr">
        <is>
          <t>Pay-as-you-go (current)</t>
        </is>
      </c>
      <c r="B4" s="6" t="n">
        <v>24000</v>
      </c>
      <c r="C4" s="29" t="n">
        <v>192000</v>
      </c>
      <c r="D4" s="33" t="n">
        <v>0.125</v>
      </c>
      <c r="E4" s="34" t="n">
        <v>4</v>
      </c>
    </row>
    <row r="5">
      <c r="A5" s="32" t="inlineStr">
        <is>
          <t>Builder ($15k)</t>
        </is>
      </c>
      <c r="B5" s="6" t="n">
        <v>15000</v>
      </c>
      <c r="C5" s="29" t="n">
        <v>120000</v>
      </c>
      <c r="D5" s="33" t="n">
        <v>0.125</v>
      </c>
      <c r="E5" s="34" t="n">
        <v>2.5</v>
      </c>
    </row>
    <row r="6">
      <c r="A6" s="5" t="inlineStr">
        <is>
          <t>Studio ($25k)</t>
        </is>
      </c>
      <c r="B6" s="6" t="n">
        <v>25000</v>
      </c>
      <c r="C6" s="29" t="n">
        <v>212500</v>
      </c>
      <c r="D6" s="33" t="n">
        <v>0.118</v>
      </c>
      <c r="E6" s="34" t="n">
        <v>4.4</v>
      </c>
    </row>
    <row r="9">
      <c r="A9" s="3" t="inlineStr">
        <is>
          <t>Perks comparison</t>
        </is>
      </c>
    </row>
    <row r="10">
      <c r="A10" s="4" t="inlineStr">
        <is>
          <t>Perk</t>
        </is>
      </c>
      <c r="B10" s="4" t="inlineStr">
        <is>
          <t>Builder ($15k)</t>
        </is>
      </c>
      <c r="C10" s="4" t="inlineStr">
        <is>
          <t>Studio ($25k)</t>
        </is>
      </c>
      <c r="D10" s="4" t="inlineStr">
        <is>
          <t>Delta</t>
        </is>
      </c>
      <c r="E10" s="4" t="inlineStr">
        <is>
          <t>Est. $ value of delta</t>
        </is>
      </c>
    </row>
    <row r="11">
      <c r="A11" t="inlineStr">
        <is>
          <t>Credits upfront</t>
        </is>
      </c>
      <c r="B11" t="inlineStr">
        <is>
          <t>120,000</t>
        </is>
      </c>
      <c r="C11" t="inlineStr">
        <is>
          <t>212,500</t>
        </is>
      </c>
      <c r="D11" t="inlineStr">
        <is>
          <t>+92,500</t>
        </is>
      </c>
      <c r="E11" s="35" t="n">
        <v>10925</v>
      </c>
    </row>
    <row r="12">
      <c r="A12" t="inlineStr">
        <is>
          <t>Lifetime Pro access</t>
        </is>
      </c>
      <c r="B12" t="inlineStr">
        <is>
          <t>Yes</t>
        </is>
      </c>
      <c r="C12" t="inlineStr">
        <is>
          <t>Yes</t>
        </is>
      </c>
      <c r="D12" t="inlineStr">
        <is>
          <t>same</t>
        </is>
      </c>
      <c r="E12" s="36" t="inlineStr">
        <is>
          <t>-</t>
        </is>
      </c>
    </row>
    <row r="13">
      <c r="A13" t="inlineStr">
        <is>
          <t>Dedicated Account Manager</t>
        </is>
      </c>
      <c r="B13" t="inlineStr">
        <is>
          <t>Yes</t>
        </is>
      </c>
      <c r="C13" t="inlineStr">
        <is>
          <t>Yes</t>
        </is>
      </c>
      <c r="D13" t="inlineStr">
        <is>
          <t>same</t>
        </is>
      </c>
      <c r="E13" s="36" t="inlineStr">
        <is>
          <t>-</t>
        </is>
      </c>
    </row>
    <row r="14">
      <c r="A14" t="inlineStr">
        <is>
          <t>Dedicated support hours/year</t>
        </is>
      </c>
      <c r="B14" t="inlineStr">
        <is>
          <t>50 hrs</t>
        </is>
      </c>
      <c r="C14" t="inlineStr">
        <is>
          <t>100 hrs</t>
        </is>
      </c>
      <c r="D14" t="inlineStr">
        <is>
          <t>+50 hrs</t>
        </is>
      </c>
      <c r="E14" s="35" t="n">
        <v>15000</v>
      </c>
    </row>
    <row r="15">
      <c r="A15" t="inlineStr">
        <is>
          <t>Exclusive discounted rates</t>
        </is>
      </c>
      <c r="B15" t="inlineStr">
        <is>
          <t>Yes</t>
        </is>
      </c>
      <c r="C15" t="inlineStr">
        <is>
          <t>Yes</t>
        </is>
      </c>
      <c r="D15" t="inlineStr">
        <is>
          <t>same</t>
        </is>
      </c>
      <c r="E15" s="36" t="inlineStr">
        <is>
          <t>-</t>
        </is>
      </c>
    </row>
    <row r="17">
      <c r="A17" t="inlineStr">
        <is>
          <t>Total $ value of Studio delta over Builder</t>
        </is>
      </c>
      <c r="B17" s="37">
        <f>SUM(E11:E15)</f>
        <v/>
      </c>
    </row>
    <row r="18">
      <c r="A18" t="inlineStr">
        <is>
          <t>Cash difference (Studio - Builder)</t>
        </is>
      </c>
      <c r="B18" s="6" t="n">
        <v>10000</v>
      </c>
    </row>
    <row r="19">
      <c r="A19" s="5" t="inlineStr">
        <is>
          <t>Net gain from Studio</t>
        </is>
      </c>
      <c r="B19" s="38">
        <f>B17-B18</f>
        <v/>
      </c>
    </row>
    <row r="22">
      <c r="A22" s="3" t="inlineStr">
        <is>
          <t>Decision matrix (all three must be TRUE for Studio)</t>
        </is>
      </c>
    </row>
    <row r="23">
      <c r="A23" s="5" t="inlineStr">
        <is>
          <t>Do you have ≥$100k in the bank?</t>
        </is>
      </c>
      <c r="B23" s="27" t="inlineStr">
        <is>
          <t>Studio uses 25%+ of runway otherwise</t>
        </is>
      </c>
    </row>
    <row r="24">
      <c r="A24" s="5" t="inlineStr">
        <is>
          <t>Will you use Emergent for ≥12 more months?</t>
        </is>
      </c>
      <c r="B24" s="27" t="inlineStr">
        <is>
          <t>Lifetime access + discounted rates need runway to pay back</t>
        </is>
      </c>
    </row>
    <row r="25">
      <c r="A25" s="5" t="inlineStr">
        <is>
          <t>Will you actually book the 100 support hours?</t>
        </is>
      </c>
      <c r="B25" s="27" t="inlineStr">
        <is>
          <t>This is $15k+ of the deal value — schedule 8hrs/mo now</t>
        </is>
      </c>
    </row>
    <row r="28">
      <c r="A28" s="39" t="inlineStr">
        <is>
          <t>RECOMMENDATION</t>
        </is>
      </c>
    </row>
    <row r="29" ht="32" customHeight="1">
      <c r="A29" s="14" t="inlineStr">
        <is>
          <t>Go Studio IF you have &gt;$100k runway. You're spending $24k on PAYG in the next 4 months anyway. $25k prepay converts that spend into $25-30k of embedded value (credits + lifetime + 100 support hrs + discounted rates). Before clicking Claim: confirm credit expiry, discount rate %, support-hour rollover, and grandfathering on future pricing changes.</t>
        </is>
      </c>
    </row>
    <row r="30" ht="32" customHeight="1"/>
  </sheetData>
  <mergeCells count="8">
    <mergeCell ref="B23:E23"/>
    <mergeCell ref="A29:E30"/>
    <mergeCell ref="A28:E28"/>
    <mergeCell ref="A1:E1"/>
    <mergeCell ref="B25:E25"/>
    <mergeCell ref="B24:E24"/>
    <mergeCell ref="A22:E22"/>
    <mergeCell ref="A9:E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/>
  <cols>
    <col width="16" customWidth="1" min="1" max="1"/>
    <col width="4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5" t="inlineStr">
        <is>
          <t>Line-Item Costs by User Tier (post-launch)</t>
        </is>
      </c>
    </row>
    <row r="3">
      <c r="A3" s="4" t="inlineStr">
        <is>
          <t>Category</t>
        </is>
      </c>
      <c r="B3" s="4" t="inlineStr">
        <is>
          <t>Line Item</t>
        </is>
      </c>
      <c r="C3" s="4" t="inlineStr">
        <is>
          <t>500 low</t>
        </is>
      </c>
      <c r="D3" s="4" t="inlineStr">
        <is>
          <t>500 high</t>
        </is>
      </c>
      <c r="E3" s="4" t="inlineStr">
        <is>
          <t>1,500 low</t>
        </is>
      </c>
      <c r="F3" s="4" t="inlineStr">
        <is>
          <t>1,500 high</t>
        </is>
      </c>
      <c r="G3" s="4" t="inlineStr">
        <is>
          <t>3,000 low</t>
        </is>
      </c>
      <c r="H3" s="4" t="inlineStr">
        <is>
          <t>3,000 high</t>
        </is>
      </c>
    </row>
    <row r="4">
      <c r="A4" s="40" t="inlineStr">
        <is>
          <t>Compute</t>
        </is>
      </c>
      <c r="B4" s="41" t="n"/>
      <c r="C4" s="41" t="n"/>
      <c r="D4" s="41" t="n"/>
      <c r="E4" s="41" t="n"/>
      <c r="F4" s="41" t="n"/>
      <c r="G4" s="41" t="n"/>
      <c r="H4" s="41" t="n"/>
    </row>
    <row r="5">
      <c r="B5" t="inlineStr">
        <is>
          <t>Backend (Railway/Fly, replicas)</t>
        </is>
      </c>
      <c r="C5" s="6" t="n">
        <v>150</v>
      </c>
      <c r="D5" s="6" t="n">
        <v>250</v>
      </c>
      <c r="E5" s="6" t="n">
        <v>400</v>
      </c>
      <c r="F5" s="6" t="n">
        <v>700</v>
      </c>
      <c r="G5" s="6" t="n">
        <v>900</v>
      </c>
      <c r="H5" s="6" t="n">
        <v>1500</v>
      </c>
    </row>
    <row r="6">
      <c r="B6" t="inlineStr">
        <is>
          <t>Frontend hosting (Vercel/Netlify)</t>
        </is>
      </c>
      <c r="C6" s="6" t="n">
        <v>20</v>
      </c>
      <c r="D6" s="6" t="n">
        <v>40</v>
      </c>
      <c r="E6" s="6" t="n">
        <v>60</v>
      </c>
      <c r="F6" s="6" t="n">
        <v>120</v>
      </c>
      <c r="G6" s="6" t="n">
        <v>150</v>
      </c>
      <c r="H6" s="6" t="n">
        <v>250</v>
      </c>
    </row>
    <row r="7">
      <c r="A7" s="40" t="inlineStr">
        <is>
          <t>Database</t>
        </is>
      </c>
      <c r="B7" s="41" t="n"/>
      <c r="C7" s="41" t="n"/>
      <c r="D7" s="41" t="n"/>
      <c r="E7" s="41" t="n"/>
      <c r="F7" s="41" t="n"/>
      <c r="G7" s="41" t="n"/>
      <c r="H7" s="41" t="n"/>
    </row>
    <row r="8">
      <c r="B8" t="inlineStr">
        <is>
          <t>MongoDB Atlas dedicated</t>
        </is>
      </c>
      <c r="C8" s="6" t="n">
        <v>180</v>
      </c>
      <c r="D8" s="6" t="n">
        <v>220</v>
      </c>
      <c r="E8" s="6" t="n">
        <v>450</v>
      </c>
      <c r="F8" s="6" t="n">
        <v>550</v>
      </c>
      <c r="G8" s="6" t="n">
        <v>900</v>
      </c>
      <c r="H8" s="6" t="n">
        <v>1300</v>
      </c>
    </row>
    <row r="9">
      <c r="B9" t="inlineStr">
        <is>
          <t>Redis Cloud</t>
        </is>
      </c>
      <c r="C9" s="6" t="n">
        <v>30</v>
      </c>
      <c r="D9" s="6" t="n">
        <v>50</v>
      </c>
      <c r="E9" s="6" t="n">
        <v>75</v>
      </c>
      <c r="F9" s="6" t="n">
        <v>120</v>
      </c>
      <c r="G9" s="6" t="n">
        <v>200</v>
      </c>
      <c r="H9" s="6" t="n">
        <v>350</v>
      </c>
    </row>
    <row r="10">
      <c r="B10" t="inlineStr">
        <is>
          <t>Automated backups + PITR</t>
        </is>
      </c>
      <c r="C10" s="6" t="n">
        <v>20</v>
      </c>
      <c r="D10" s="6" t="n">
        <v>40</v>
      </c>
      <c r="E10" s="6" t="n">
        <v>60</v>
      </c>
      <c r="F10" s="6" t="n">
        <v>100</v>
      </c>
      <c r="G10" s="6" t="n">
        <v>120</v>
      </c>
      <c r="H10" s="6" t="n">
        <v>200</v>
      </c>
    </row>
    <row r="11">
      <c r="A11" s="40" t="inlineStr">
        <is>
          <t>AI</t>
        </is>
      </c>
      <c r="B11" s="41" t="n"/>
      <c r="C11" s="41" t="n"/>
      <c r="D11" s="41" t="n"/>
      <c r="E11" s="41" t="n"/>
      <c r="F11" s="41" t="n"/>
      <c r="G11" s="41" t="n"/>
      <c r="H11" s="41" t="n"/>
    </row>
    <row r="12">
      <c r="B12" t="inlineStr">
        <is>
          <t>LLM inference</t>
        </is>
      </c>
      <c r="C12" s="6" t="n">
        <v>1000</v>
      </c>
      <c r="D12" s="6" t="n">
        <v>2000</v>
      </c>
      <c r="E12" s="6" t="n">
        <v>3000</v>
      </c>
      <c r="F12" s="6" t="n">
        <v>6000</v>
      </c>
      <c r="G12" s="6" t="n">
        <v>6000</v>
      </c>
      <c r="H12" s="6" t="n">
        <v>12000</v>
      </c>
    </row>
    <row r="13">
      <c r="B13" t="inlineStr">
        <is>
          <t>STT / voice (Whisper)</t>
        </is>
      </c>
      <c r="C13" s="6" t="n">
        <v>20</v>
      </c>
      <c r="D13" s="6" t="n">
        <v>60</v>
      </c>
      <c r="E13" s="6" t="n">
        <v>60</v>
      </c>
      <c r="F13" s="6" t="n">
        <v>200</v>
      </c>
      <c r="G13" s="6" t="n">
        <v>150</v>
      </c>
      <c r="H13" s="6" t="n">
        <v>500</v>
      </c>
    </row>
    <row r="14">
      <c r="A14" s="40" t="inlineStr">
        <is>
          <t>Integrations</t>
        </is>
      </c>
      <c r="B14" s="41" t="n"/>
      <c r="C14" s="41" t="n"/>
      <c r="D14" s="41" t="n"/>
      <c r="E14" s="41" t="n"/>
      <c r="F14" s="41" t="n"/>
      <c r="G14" s="41" t="n"/>
      <c r="H14" s="41" t="n"/>
    </row>
    <row r="15">
      <c r="B15" t="inlineStr">
        <is>
          <t>Plaid (production)</t>
        </is>
      </c>
      <c r="C15" s="6" t="n">
        <v>1065</v>
      </c>
      <c r="D15" s="6" t="n">
        <v>1200</v>
      </c>
      <c r="E15" s="6" t="n">
        <v>1200</v>
      </c>
      <c r="F15" s="6" t="n">
        <v>2100</v>
      </c>
      <c r="G15" s="6" t="n">
        <v>1800</v>
      </c>
      <c r="H15" s="6" t="n">
        <v>3000</v>
      </c>
    </row>
    <row r="16">
      <c r="B16" t="inlineStr">
        <is>
          <t>Veryfi OCR</t>
        </is>
      </c>
      <c r="C16" s="6" t="n">
        <v>500</v>
      </c>
      <c r="D16" s="6" t="n">
        <v>700</v>
      </c>
      <c r="E16" s="6" t="n">
        <v>800</v>
      </c>
      <c r="F16" s="6" t="n">
        <v>1500</v>
      </c>
      <c r="G16" s="6" t="n">
        <v>1500</v>
      </c>
      <c r="H16" s="6" t="n">
        <v>2500</v>
      </c>
    </row>
    <row r="17">
      <c r="A17" s="40" t="inlineStr">
        <is>
          <t>Email/Comms</t>
        </is>
      </c>
      <c r="B17" s="41" t="n"/>
      <c r="C17" s="41" t="n"/>
      <c r="D17" s="41" t="n"/>
      <c r="E17" s="41" t="n"/>
      <c r="F17" s="41" t="n"/>
      <c r="G17" s="41" t="n"/>
      <c r="H17" s="41" t="n"/>
    </row>
    <row r="18">
      <c r="B18" t="inlineStr">
        <is>
          <t>Resend transactional</t>
        </is>
      </c>
      <c r="C18" s="6" t="n">
        <v>20</v>
      </c>
      <c r="D18" s="6" t="n">
        <v>35</v>
      </c>
      <c r="E18" s="6" t="n">
        <v>50</v>
      </c>
      <c r="F18" s="6" t="n">
        <v>90</v>
      </c>
      <c r="G18" s="6" t="n">
        <v>150</v>
      </c>
      <c r="H18" s="6" t="n">
        <v>250</v>
      </c>
    </row>
    <row r="19">
      <c r="B19" t="inlineStr">
        <is>
          <t>Twilio SMS (optional)</t>
        </is>
      </c>
      <c r="C19" s="6" t="n">
        <v>0</v>
      </c>
      <c r="D19" s="6" t="n">
        <v>40</v>
      </c>
      <c r="E19" s="6" t="n">
        <v>30</v>
      </c>
      <c r="F19" s="6" t="n">
        <v>100</v>
      </c>
      <c r="G19" s="6" t="n">
        <v>80</v>
      </c>
      <c r="H19" s="6" t="n">
        <v>200</v>
      </c>
    </row>
    <row r="20">
      <c r="A20" s="40" t="inlineStr">
        <is>
          <t>Storage</t>
        </is>
      </c>
      <c r="B20" s="41" t="n"/>
      <c r="C20" s="41" t="n"/>
      <c r="D20" s="41" t="n"/>
      <c r="E20" s="41" t="n"/>
      <c r="F20" s="41" t="n"/>
      <c r="G20" s="41" t="n"/>
      <c r="H20" s="41" t="n"/>
    </row>
    <row r="21">
      <c r="B21" t="inlineStr">
        <is>
          <t>Object storage (S3/R2)</t>
        </is>
      </c>
      <c r="C21" s="6" t="n">
        <v>30</v>
      </c>
      <c r="D21" s="6" t="n">
        <v>60</v>
      </c>
      <c r="E21" s="6" t="n">
        <v>150</v>
      </c>
      <c r="F21" s="6" t="n">
        <v>300</v>
      </c>
      <c r="G21" s="6" t="n">
        <v>400</v>
      </c>
      <c r="H21" s="6" t="n">
        <v>700</v>
      </c>
    </row>
    <row r="22">
      <c r="B22" t="inlineStr">
        <is>
          <t>CDN egress</t>
        </is>
      </c>
      <c r="C22" s="6" t="n">
        <v>10</v>
      </c>
      <c r="D22" s="6" t="n">
        <v>30</v>
      </c>
      <c r="E22" s="6" t="n">
        <v>40</v>
      </c>
      <c r="F22" s="6" t="n">
        <v>100</v>
      </c>
      <c r="G22" s="6" t="n">
        <v>100</v>
      </c>
      <c r="H22" s="6" t="n">
        <v>250</v>
      </c>
    </row>
    <row r="23">
      <c r="A23" s="40" t="inlineStr">
        <is>
          <t>Monitoring</t>
        </is>
      </c>
      <c r="B23" s="41" t="n"/>
      <c r="C23" s="41" t="n"/>
      <c r="D23" s="41" t="n"/>
      <c r="E23" s="41" t="n"/>
      <c r="F23" s="41" t="n"/>
      <c r="G23" s="41" t="n"/>
      <c r="H23" s="41" t="n"/>
    </row>
    <row r="24">
      <c r="B24" t="inlineStr">
        <is>
          <t>Sentry</t>
        </is>
      </c>
      <c r="C24" s="6" t="n">
        <v>30</v>
      </c>
      <c r="D24" s="6" t="n">
        <v>50</v>
      </c>
      <c r="E24" s="6" t="n">
        <v>80</v>
      </c>
      <c r="F24" s="6" t="n">
        <v>150</v>
      </c>
      <c r="G24" s="6" t="n">
        <v>150</v>
      </c>
      <c r="H24" s="6" t="n">
        <v>300</v>
      </c>
    </row>
    <row r="25">
      <c r="B25" t="inlineStr">
        <is>
          <t>Datadog / Logtail</t>
        </is>
      </c>
      <c r="C25" s="6" t="n">
        <v>50</v>
      </c>
      <c r="D25" s="6" t="n">
        <v>70</v>
      </c>
      <c r="E25" s="6" t="n">
        <v>120</v>
      </c>
      <c r="F25" s="6" t="n">
        <v>250</v>
      </c>
      <c r="G25" s="6" t="n">
        <v>350</v>
      </c>
      <c r="H25" s="6" t="n">
        <v>600</v>
      </c>
    </row>
    <row r="26">
      <c r="A26" s="40" t="inlineStr">
        <is>
          <t>Security</t>
        </is>
      </c>
      <c r="B26" s="41" t="n"/>
      <c r="C26" s="41" t="n"/>
      <c r="D26" s="41" t="n"/>
      <c r="E26" s="41" t="n"/>
      <c r="F26" s="41" t="n"/>
      <c r="G26" s="41" t="n"/>
      <c r="H26" s="41" t="n"/>
    </row>
    <row r="27">
      <c r="B27" t="inlineStr">
        <is>
          <t>Vanta / Drata</t>
        </is>
      </c>
      <c r="C27" s="6" t="n">
        <v>0</v>
      </c>
      <c r="D27" s="6" t="n">
        <v>0</v>
      </c>
      <c r="E27" s="6" t="n">
        <v>0</v>
      </c>
      <c r="F27" s="6" t="n">
        <v>200</v>
      </c>
      <c r="G27" s="6" t="n">
        <v>500</v>
      </c>
      <c r="H27" s="6" t="n">
        <v>800</v>
      </c>
    </row>
    <row r="28">
      <c r="B28" t="inlineStr">
        <is>
          <t>Snyk / dep scanning</t>
        </is>
      </c>
      <c r="C28" s="6" t="n">
        <v>0</v>
      </c>
      <c r="D28" s="6" t="n">
        <v>30</v>
      </c>
      <c r="E28" s="6" t="n">
        <v>30</v>
      </c>
      <c r="F28" s="6" t="n">
        <v>60</v>
      </c>
      <c r="G28" s="6" t="n">
        <v>60</v>
      </c>
      <c r="H28" s="6" t="n">
        <v>120</v>
      </c>
    </row>
    <row r="29">
      <c r="A29" s="40" t="inlineStr">
        <is>
          <t>Support</t>
        </is>
      </c>
      <c r="B29" s="41" t="n"/>
      <c r="C29" s="41" t="n"/>
      <c r="D29" s="41" t="n"/>
      <c r="E29" s="41" t="n"/>
      <c r="F29" s="41" t="n"/>
      <c r="G29" s="41" t="n"/>
      <c r="H29" s="41" t="n"/>
    </row>
    <row r="30">
      <c r="B30" t="inlineStr">
        <is>
          <t>Intercom / Help Scout</t>
        </is>
      </c>
      <c r="C30" s="6" t="n">
        <v>0</v>
      </c>
      <c r="D30" s="6" t="n">
        <v>100</v>
      </c>
      <c r="E30" s="6" t="n">
        <v>100</v>
      </c>
      <c r="F30" s="6" t="n">
        <v>300</v>
      </c>
      <c r="G30" s="6" t="n">
        <v>300</v>
      </c>
      <c r="H30" s="6" t="n">
        <v>700</v>
      </c>
    </row>
    <row r="31">
      <c r="B31" t="inlineStr">
        <is>
          <t>Status page</t>
        </is>
      </c>
      <c r="C31" s="6" t="n">
        <v>0</v>
      </c>
      <c r="D31" s="6" t="n">
        <v>30</v>
      </c>
      <c r="E31" s="6" t="n">
        <v>30</v>
      </c>
      <c r="F31" s="6" t="n">
        <v>60</v>
      </c>
      <c r="G31" s="6" t="n">
        <v>60</v>
      </c>
      <c r="H31" s="6" t="n">
        <v>120</v>
      </c>
    </row>
    <row r="32">
      <c r="A32" s="40" t="inlineStr">
        <is>
          <t>Ops</t>
        </is>
      </c>
      <c r="B32" s="41" t="n"/>
      <c r="C32" s="41" t="n"/>
      <c r="D32" s="41" t="n"/>
      <c r="E32" s="41" t="n"/>
      <c r="F32" s="41" t="n"/>
      <c r="G32" s="41" t="n"/>
      <c r="H32" s="41" t="n"/>
    </row>
    <row r="33">
      <c r="B33" t="inlineStr">
        <is>
          <t>Domain, DNS, Cloudflare</t>
        </is>
      </c>
      <c r="C33" s="6" t="n">
        <v>20</v>
      </c>
      <c r="D33" s="6" t="n">
        <v>40</v>
      </c>
      <c r="E33" s="6" t="n">
        <v>30</v>
      </c>
      <c r="F33" s="6" t="n">
        <v>60</v>
      </c>
      <c r="G33" s="6" t="n">
        <v>50</v>
      </c>
      <c r="H33" s="6" t="n">
        <v>100</v>
      </c>
    </row>
    <row r="34">
      <c r="B34" t="inlineStr">
        <is>
          <t>Password manager, misc SaaS</t>
        </is>
      </c>
      <c r="C34" s="6" t="n">
        <v>20</v>
      </c>
      <c r="D34" s="6" t="n">
        <v>40</v>
      </c>
      <c r="E34" s="6" t="n">
        <v>40</v>
      </c>
      <c r="F34" s="6" t="n">
        <v>80</v>
      </c>
      <c r="G34" s="6" t="n">
        <v>60</v>
      </c>
      <c r="H34" s="6" t="n">
        <v>150</v>
      </c>
    </row>
    <row r="36">
      <c r="A36" s="19" t="inlineStr">
        <is>
          <t>TOTAL</t>
        </is>
      </c>
      <c r="B36" s="19" t="inlineStr">
        <is>
          <t>Sum of all line items</t>
        </is>
      </c>
      <c r="C36" s="20">
        <f>SUMIF(B4:B34, "&lt;&gt;", C4:C34)</f>
        <v/>
      </c>
      <c r="D36" s="20">
        <f>SUMIF(B4:B34, "&lt;&gt;", D4:D34)</f>
        <v/>
      </c>
      <c r="E36" s="20">
        <f>SUMIF(B4:B34, "&lt;&gt;", E4:E34)</f>
        <v/>
      </c>
      <c r="F36" s="20">
        <f>SUMIF(B4:B34, "&lt;&gt;", F4:F34)</f>
        <v/>
      </c>
      <c r="G36" s="20">
        <f>SUMIF(B4:B34, "&lt;&gt;", G4:G34)</f>
        <v/>
      </c>
      <c r="H36" s="20">
        <f>SUMIF(B4:B34, "&lt;&gt;", H4:H34)</f>
        <v/>
      </c>
    </row>
    <row r="38">
      <c r="A38" t="inlineStr">
        <is>
          <t>Per-user cost</t>
        </is>
      </c>
      <c r="B38" t="inlineStr">
        <is>
          <t>Cost / paid user</t>
        </is>
      </c>
      <c r="C38" s="42">
        <f>C36/500</f>
        <v/>
      </c>
      <c r="D38" s="42">
        <f>D36/500</f>
        <v/>
      </c>
      <c r="E38" s="42">
        <f>E36/1500</f>
        <v/>
      </c>
      <c r="F38" s="42">
        <f>F36/1500</f>
        <v/>
      </c>
      <c r="G38" s="42">
        <f>G36/3000</f>
        <v/>
      </c>
      <c r="H38" s="42">
        <f>H36/3000</f>
        <v/>
      </c>
    </row>
  </sheetData>
  <mergeCells count="1">
    <mergeCell ref="A1:H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AI Cost Forecasting</t>
        </is>
      </c>
    </row>
    <row r="3">
      <c r="A3" s="3" t="inlineStr">
        <is>
          <t>Section A — Cost per operation</t>
        </is>
      </c>
    </row>
    <row r="4">
      <c r="A4" s="4" t="inlineStr">
        <is>
          <t>Operation</t>
        </is>
      </c>
      <c r="B4" s="4" t="inlineStr">
        <is>
          <t>Model</t>
        </is>
      </c>
      <c r="C4" s="4" t="inlineStr">
        <is>
          <t>Tokens in</t>
        </is>
      </c>
      <c r="D4" s="4" t="inlineStr">
        <is>
          <t>Tokens out</t>
        </is>
      </c>
      <c r="E4" s="4" t="inlineStr">
        <is>
          <t>$/call</t>
        </is>
      </c>
    </row>
    <row r="5">
      <c r="A5" t="inlineStr">
        <is>
          <t>Transaction categorisation</t>
        </is>
      </c>
      <c r="B5" t="inlineStr">
        <is>
          <t>GPT-5.4 Mini</t>
        </is>
      </c>
      <c r="C5" t="n">
        <v>600</v>
      </c>
      <c r="D5" t="n">
        <v>80</v>
      </c>
      <c r="E5" s="43" t="n">
        <v>0.0015</v>
      </c>
    </row>
    <row r="6">
      <c r="A6" t="inlineStr">
        <is>
          <t>Batch categorise (10 txns)</t>
        </is>
      </c>
      <c r="B6" t="inlineStr">
        <is>
          <t>GPT-5.4 Mini</t>
        </is>
      </c>
      <c r="C6" t="n">
        <v>3000</v>
      </c>
      <c r="D6" t="n">
        <v>400</v>
      </c>
      <c r="E6" s="43" t="n">
        <v>0.0065</v>
      </c>
    </row>
    <row r="7">
      <c r="A7" t="inlineStr">
        <is>
          <t>Voice STT (10s clip)</t>
        </is>
      </c>
      <c r="B7" t="inlineStr">
        <is>
          <t>Whisper</t>
        </is>
      </c>
      <c r="C7" t="n">
        <v>0</v>
      </c>
      <c r="D7" t="n">
        <v>0</v>
      </c>
      <c r="E7" s="43" t="n">
        <v>0.001</v>
      </c>
    </row>
    <row r="8">
      <c r="A8" t="inlineStr">
        <is>
          <t>Voice intent parse</t>
        </is>
      </c>
      <c r="B8" t="inlineStr">
        <is>
          <t>GPT-5.4 Mini</t>
        </is>
      </c>
      <c r="C8" t="n">
        <v>400</v>
      </c>
      <c r="D8" t="n">
        <v>50</v>
      </c>
      <c r="E8" s="43" t="n">
        <v>0.0008</v>
      </c>
    </row>
    <row r="9">
      <c r="A9" t="inlineStr">
        <is>
          <t>Chat message</t>
        </is>
      </c>
      <c r="B9" t="inlineStr">
        <is>
          <t>Claude Haiku 4.5</t>
        </is>
      </c>
      <c r="C9" t="n">
        <v>2000</v>
      </c>
      <c r="D9" t="n">
        <v>400</v>
      </c>
      <c r="E9" s="43" t="n">
        <v>0.01</v>
      </c>
    </row>
    <row r="10">
      <c r="A10" t="inlineStr">
        <is>
          <t>Long-form insight report</t>
        </is>
      </c>
      <c r="B10" t="inlineStr">
        <is>
          <t>Claude Sonnet 5</t>
        </is>
      </c>
      <c r="C10" t="n">
        <v>8000</v>
      </c>
      <c r="D10" t="n">
        <v>2000</v>
      </c>
      <c r="E10" s="43" t="n">
        <v>0.1</v>
      </c>
    </row>
    <row r="11">
      <c r="A11" t="inlineStr">
        <is>
          <t>QBO Verify (PDF extract)</t>
        </is>
      </c>
      <c r="B11" t="inlineStr">
        <is>
          <t>Claude Sonnet 5</t>
        </is>
      </c>
      <c r="C11" t="n">
        <v>15000</v>
      </c>
      <c r="D11" t="n">
        <v>3000</v>
      </c>
      <c r="E11" s="43" t="n">
        <v>0.2</v>
      </c>
    </row>
    <row r="12">
      <c r="A12" t="inlineStr">
        <is>
          <t>Anomaly detection sweep</t>
        </is>
      </c>
      <c r="B12" t="inlineStr">
        <is>
          <t>GPT-5.4 Mini</t>
        </is>
      </c>
      <c r="C12" t="n">
        <v>4000</v>
      </c>
      <c r="D12" t="n">
        <v>300</v>
      </c>
      <c r="E12" s="43" t="n">
        <v>0.006</v>
      </c>
    </row>
    <row r="13">
      <c r="A13" t="inlineStr">
        <is>
          <t>Onboarding interview</t>
        </is>
      </c>
      <c r="B13" t="inlineStr">
        <is>
          <t>GPT-5.4 Mini</t>
        </is>
      </c>
      <c r="C13" t="n">
        <v>3000</v>
      </c>
      <c r="D13" t="n">
        <v>800</v>
      </c>
      <c r="E13" s="43" t="n">
        <v>0.008</v>
      </c>
    </row>
    <row r="14">
      <c r="A14" t="inlineStr">
        <is>
          <t>Contact match</t>
        </is>
      </c>
      <c r="B14" t="inlineStr">
        <is>
          <t>GPT-5.4 Mini</t>
        </is>
      </c>
      <c r="C14" t="n">
        <v>500</v>
      </c>
      <c r="D14" t="n">
        <v>60</v>
      </c>
      <c r="E14" s="43" t="n">
        <v>0.0009</v>
      </c>
    </row>
    <row r="15">
      <c r="A15" t="inlineStr">
        <is>
          <t>Receipt image (Nano Banana)</t>
        </is>
      </c>
      <c r="B15" t="inlineStr">
        <is>
          <t>Gemini 3.5 Flash</t>
        </is>
      </c>
      <c r="C15" t="n">
        <v>0</v>
      </c>
      <c r="D15" t="n">
        <v>200</v>
      </c>
      <c r="E15" s="43" t="n">
        <v>0.003</v>
      </c>
    </row>
    <row r="18">
      <c r="A18" s="3" t="inlineStr">
        <is>
          <t>Section B — Monthly usage by segment</t>
        </is>
      </c>
    </row>
    <row r="19">
      <c r="A19" s="4" t="inlineStr">
        <is>
          <t>Segment</t>
        </is>
      </c>
      <c r="B19" s="4" t="inlineStr">
        <is>
          <t>% users</t>
        </is>
      </c>
      <c r="C19" s="4" t="inlineStr">
        <is>
          <t>AI ops/mo</t>
        </is>
      </c>
      <c r="D19" s="4" t="inlineStr">
        <is>
          <t>$/user (low)</t>
        </is>
      </c>
      <c r="E19" s="4" t="inlineStr">
        <is>
          <t>$/user (high)</t>
        </is>
      </c>
    </row>
    <row r="20">
      <c r="A20" t="inlineStr">
        <is>
          <t>Free trial / dormant</t>
        </is>
      </c>
      <c r="B20" s="44" t="n">
        <v>0.3</v>
      </c>
      <c r="C20" s="29" t="n">
        <v>50</v>
      </c>
      <c r="D20" s="7" t="n">
        <v>0.1</v>
      </c>
      <c r="E20" s="7" t="n">
        <v>0.3</v>
      </c>
    </row>
    <row r="21">
      <c r="A21" t="inlineStr">
        <is>
          <t>Light client</t>
        </is>
      </c>
      <c r="B21" s="44" t="n">
        <v>0.35</v>
      </c>
      <c r="C21" s="29" t="n">
        <v>800</v>
      </c>
      <c r="D21" s="7" t="n">
        <v>1.2</v>
      </c>
      <c r="E21" s="7" t="n">
        <v>2</v>
      </c>
    </row>
    <row r="22">
      <c r="A22" t="inlineStr">
        <is>
          <t>Standard client</t>
        </is>
      </c>
      <c r="B22" s="44" t="n">
        <v>0.2</v>
      </c>
      <c r="C22" s="29" t="n">
        <v>3500</v>
      </c>
      <c r="D22" s="7" t="n">
        <v>2.5</v>
      </c>
      <c r="E22" s="7" t="n">
        <v>4.5</v>
      </c>
    </row>
    <row r="23">
      <c r="A23" t="inlineStr">
        <is>
          <t>Power client</t>
        </is>
      </c>
      <c r="B23" s="44" t="n">
        <v>0.08</v>
      </c>
      <c r="C23" s="29" t="n">
        <v>6000</v>
      </c>
      <c r="D23" s="7" t="n">
        <v>5</v>
      </c>
      <c r="E23" s="7" t="n">
        <v>9</v>
      </c>
    </row>
    <row r="24">
      <c r="A24" t="inlineStr">
        <is>
          <t>Pro (10 clients)</t>
        </is>
      </c>
      <c r="B24" s="44" t="n">
        <v>0.05</v>
      </c>
      <c r="C24" s="29" t="n">
        <v>25000</v>
      </c>
      <c r="D24" s="7" t="n">
        <v>15</v>
      </c>
      <c r="E24" s="7" t="n">
        <v>30</v>
      </c>
    </row>
    <row r="25">
      <c r="A25" t="inlineStr">
        <is>
          <t>Pro power (30 clients)</t>
        </is>
      </c>
      <c r="B25" s="44" t="n">
        <v>0.02</v>
      </c>
      <c r="C25" s="29" t="n">
        <v>60000</v>
      </c>
      <c r="D25" s="7" t="n">
        <v>35</v>
      </c>
      <c r="E25" s="7" t="n">
        <v>70</v>
      </c>
    </row>
    <row r="28">
      <c r="A28" s="3" t="inlineStr">
        <is>
          <t>Section C — Optimisation levers</t>
        </is>
      </c>
    </row>
    <row r="29">
      <c r="A29" s="4" t="inlineStr">
        <is>
          <t>Lever</t>
        </is>
      </c>
      <c r="B29" s="4" t="inlineStr">
        <is>
          <t>Savings</t>
        </is>
      </c>
      <c r="C29" s="4" t="inlineStr">
        <is>
          <t>Effort</t>
        </is>
      </c>
      <c r="D29" s="4" t="n"/>
      <c r="E29" s="4" t="n"/>
    </row>
    <row r="30">
      <c r="A30" t="inlineStr">
        <is>
          <t>Route classification through GPT-5.4 Mini</t>
        </is>
      </c>
      <c r="B30" s="45" t="n">
        <v>-0.35</v>
      </c>
      <c r="C30" t="inlineStr">
        <is>
          <t>Low</t>
        </is>
      </c>
    </row>
    <row r="31">
      <c r="A31" t="inlineStr">
        <is>
          <t>Cache repeat classifications</t>
        </is>
      </c>
      <c r="B31" s="45" t="n">
        <v>-0.15</v>
      </c>
      <c r="C31" t="inlineStr">
        <is>
          <t>Low (2 days)</t>
        </is>
      </c>
    </row>
    <row r="32">
      <c r="A32" t="inlineStr">
        <is>
          <t>Batch small ops (10/call)</t>
        </is>
      </c>
      <c r="B32" s="45" t="n">
        <v>-0.25</v>
      </c>
      <c r="C32" t="inlineStr">
        <is>
          <t>Medium</t>
        </is>
      </c>
    </row>
    <row r="33">
      <c r="A33" t="inlineStr">
        <is>
          <t>Claude Haiku 4.5 for chat</t>
        </is>
      </c>
      <c r="B33" s="45" t="n">
        <v>-0.2</v>
      </c>
      <c r="C33" t="inlineStr">
        <is>
          <t>Low</t>
        </is>
      </c>
    </row>
    <row r="34">
      <c r="A34" t="inlineStr">
        <is>
          <t>Precompute nightly insight summaries</t>
        </is>
      </c>
      <c r="B34" s="45" t="n">
        <v>-0.15</v>
      </c>
      <c r="C34" t="inlineStr">
        <is>
          <t>Medium</t>
        </is>
      </c>
    </row>
    <row r="35">
      <c r="A35" t="inlineStr">
        <is>
          <t>Rate-limit AI Ask (20/day cap)</t>
        </is>
      </c>
      <c r="B35" s="45" t="n">
        <v>-0.08</v>
      </c>
      <c r="C35" t="inlineStr">
        <is>
          <t>Trivial</t>
        </is>
      </c>
    </row>
    <row r="36">
      <c r="A36" t="inlineStr">
        <is>
          <t>Nano Banana only on user image upload</t>
        </is>
      </c>
      <c r="B36" s="45" t="n">
        <v>-0.03</v>
      </c>
      <c r="C36" t="inlineStr">
        <is>
          <t>Done</t>
        </is>
      </c>
    </row>
    <row r="37">
      <c r="A37" s="19" t="inlineStr">
        <is>
          <t>Realistic combined savings (overlapping)</t>
        </is>
      </c>
      <c r="B37" s="46" t="n">
        <v>-0.45</v>
      </c>
      <c r="C37" s="19" t="inlineStr">
        <is>
          <t>Stacked, non-additive</t>
        </is>
      </c>
      <c r="D37" s="19" t="n"/>
      <c r="E37" s="19" t="n"/>
    </row>
  </sheetData>
  <mergeCells count="4">
    <mergeCell ref="A28:E28"/>
    <mergeCell ref="A1:E1"/>
    <mergeCell ref="A18:E18"/>
    <mergeCell ref="A3:E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5" t="inlineStr">
        <is>
          <t>Compliance Spend + Unit Economics</t>
        </is>
      </c>
    </row>
    <row r="3">
      <c r="A3" s="3" t="inlineStr">
        <is>
          <t>Compliance &amp; legal by user tier</t>
        </is>
      </c>
    </row>
    <row r="4">
      <c r="A4" s="4" t="inlineStr">
        <is>
          <t>Tier</t>
        </is>
      </c>
      <c r="B4" s="4" t="inlineStr">
        <is>
          <t>First-year add-on</t>
        </is>
      </c>
      <c r="C4" s="4" t="inlineStr">
        <is>
          <t>Recurring / year</t>
        </is>
      </c>
      <c r="D4" s="4" t="inlineStr">
        <is>
          <t>What to start</t>
        </is>
      </c>
      <c r="E4" s="4" t="n"/>
    </row>
    <row r="5">
      <c r="A5" s="5" t="inlineStr">
        <is>
          <t>500 users</t>
        </is>
      </c>
      <c r="B5" t="inlineStr">
        <is>
          <t>$6,500-$18,500</t>
        </is>
      </c>
      <c r="C5" t="inlineStr">
        <is>
          <t>$9,000-$23,000</t>
        </is>
      </c>
      <c r="D5" t="inlineStr">
        <is>
          <t>Insurance + basic legal</t>
        </is>
      </c>
    </row>
    <row r="6">
      <c r="A6" s="5" t="inlineStr">
        <is>
          <t>1,500 users</t>
        </is>
      </c>
      <c r="B6" t="inlineStr">
        <is>
          <t>$20,000-$45,000</t>
        </is>
      </c>
      <c r="C6" t="inlineStr">
        <is>
          <t>$15,000-$35,000</t>
        </is>
      </c>
      <c r="D6" t="inlineStr">
        <is>
          <t>Add Vanta + SOC 2 Type I</t>
        </is>
      </c>
    </row>
    <row r="7">
      <c r="A7" s="5" t="inlineStr">
        <is>
          <t>3,000 users</t>
        </is>
      </c>
      <c r="B7" t="inlineStr">
        <is>
          <t>$65,000-$125,000</t>
        </is>
      </c>
      <c r="C7" t="inlineStr">
        <is>
          <t>$55,000-$100,000</t>
        </is>
      </c>
      <c r="D7" t="inlineStr">
        <is>
          <t>Full SOC 2 Type II + HMRC MTD</t>
        </is>
      </c>
    </row>
    <row r="10">
      <c r="A10" s="3" t="inlineStr">
        <is>
          <t>Key compliance line items</t>
        </is>
      </c>
    </row>
    <row r="11">
      <c r="A11" s="4" t="inlineStr">
        <is>
          <t>Item</t>
        </is>
      </c>
      <c r="B11" s="4" t="inlineStr">
        <is>
          <t>Cost low</t>
        </is>
      </c>
      <c r="C11" s="4" t="inlineStr">
        <is>
          <t>Cost high</t>
        </is>
      </c>
      <c r="D11" s="4" t="inlineStr">
        <is>
          <t>Timing</t>
        </is>
      </c>
      <c r="E11" s="4" t="n"/>
    </row>
    <row r="12">
      <c r="A12" t="inlineStr">
        <is>
          <t>Business insurance E&amp;O + Cyber</t>
        </is>
      </c>
      <c r="B12" s="6" t="n">
        <v>3000</v>
      </c>
      <c r="C12" s="6" t="n">
        <v>8000</v>
      </c>
      <c r="D12" s="27" t="inlineStr">
        <is>
          <t>Day 1</t>
        </is>
      </c>
    </row>
    <row r="13">
      <c r="A13" t="inlineStr">
        <is>
          <t>Attorney-drafted TOS + Privacy</t>
        </is>
      </c>
      <c r="B13" s="6" t="n">
        <v>3000</v>
      </c>
      <c r="C13" s="6" t="n">
        <v>5500</v>
      </c>
      <c r="D13" s="27" t="inlineStr">
        <is>
          <t>Day 1</t>
        </is>
      </c>
    </row>
    <row r="14">
      <c r="A14" t="inlineStr">
        <is>
          <t>Delaware C-Corp formation</t>
        </is>
      </c>
      <c r="B14" s="6" t="n">
        <v>500</v>
      </c>
      <c r="C14" s="6" t="n">
        <v>800</v>
      </c>
      <c r="D14" s="27" t="inlineStr">
        <is>
          <t>Day 1</t>
        </is>
      </c>
    </row>
    <row r="15">
      <c r="A15" t="inlineStr">
        <is>
          <t>Vanta / Drata (annual)</t>
        </is>
      </c>
      <c r="B15" s="6" t="n">
        <v>9000</v>
      </c>
      <c r="C15" s="6" t="n">
        <v>15000</v>
      </c>
      <c r="D15" s="27" t="inlineStr">
        <is>
          <t>At 750-1,000 users</t>
        </is>
      </c>
    </row>
    <row r="16">
      <c r="A16" t="inlineStr">
        <is>
          <t>SOC 2 Type I (one-time)</t>
        </is>
      </c>
      <c r="B16" s="6" t="n">
        <v>12000</v>
      </c>
      <c r="C16" s="6" t="n">
        <v>20000</v>
      </c>
      <c r="D16" s="27" t="inlineStr">
        <is>
          <t>At 1,500 users</t>
        </is>
      </c>
    </row>
    <row r="17">
      <c r="A17" t="inlineStr">
        <is>
          <t>SOC 2 Type II (annual)</t>
        </is>
      </c>
      <c r="B17" s="6" t="n">
        <v>25000</v>
      </c>
      <c r="C17" s="6" t="n">
        <v>45000</v>
      </c>
      <c r="D17" s="27" t="inlineStr">
        <is>
          <t>At 2,500-3,000 users</t>
        </is>
      </c>
    </row>
    <row r="18">
      <c r="A18" t="inlineStr">
        <is>
          <t>Penetration test (annual)</t>
        </is>
      </c>
      <c r="B18" s="6" t="n">
        <v>6000</v>
      </c>
      <c r="C18" s="6" t="n">
        <v>12000</v>
      </c>
      <c r="D18" s="27" t="inlineStr">
        <is>
          <t>For SOC 2 Type II</t>
        </is>
      </c>
    </row>
    <row r="19">
      <c r="A19" t="inlineStr">
        <is>
          <t>HMRC MTD Recognition</t>
        </is>
      </c>
      <c r="B19" s="6" t="n">
        <v>0</v>
      </c>
      <c r="C19" s="6" t="n">
        <v>0</v>
      </c>
      <c r="D19" s="27" t="inlineStr">
        <is>
          <t>Free — 4-8 wks time</t>
        </is>
      </c>
    </row>
    <row r="20">
      <c r="A20" t="inlineStr">
        <is>
          <t>UK GDPR / DPO service</t>
        </is>
      </c>
      <c r="B20" s="6" t="n">
        <v>2400</v>
      </c>
      <c r="C20" s="6" t="n">
        <v>6000</v>
      </c>
      <c r="D20" s="27" t="inlineStr">
        <is>
          <t>Before UK launch</t>
        </is>
      </c>
    </row>
    <row r="21">
      <c r="A21" t="inlineStr">
        <is>
          <t>Trademarks (US + UK)</t>
        </is>
      </c>
      <c r="B21" s="6" t="n">
        <v>1750</v>
      </c>
      <c r="C21" s="6" t="n">
        <v>4100</v>
      </c>
      <c r="D21" s="27" t="inlineStr">
        <is>
          <t>Month 3-6</t>
        </is>
      </c>
    </row>
    <row r="24">
      <c r="A24" s="3" t="inlineStr">
        <is>
          <t>Unit Economics</t>
        </is>
      </c>
    </row>
    <row r="25">
      <c r="A25" s="4" t="inlineStr">
        <is>
          <t>Metric</t>
        </is>
      </c>
      <c r="B25" s="4" t="inlineStr">
        <is>
          <t>500 users</t>
        </is>
      </c>
      <c r="C25" s="4" t="inlineStr">
        <is>
          <t>1,500 users</t>
        </is>
      </c>
      <c r="D25" s="4" t="inlineStr">
        <is>
          <t>3,000 users</t>
        </is>
      </c>
      <c r="E25" s="4" t="n"/>
    </row>
    <row r="26">
      <c r="A26" t="inlineStr">
        <is>
          <t>Total monthly cost (mid)</t>
        </is>
      </c>
      <c r="B26" s="6" t="n">
        <v>4000</v>
      </c>
      <c r="C26" s="6" t="n">
        <v>11000</v>
      </c>
      <c r="D26" s="6" t="n">
        <v>26000</v>
      </c>
    </row>
    <row r="27">
      <c r="A27" t="inlineStr">
        <is>
          <t>Cost per user per month</t>
        </is>
      </c>
      <c r="B27" s="7" t="n">
        <v>8</v>
      </c>
      <c r="C27" s="7" t="n">
        <v>7.3</v>
      </c>
      <c r="D27" s="7" t="n">
        <v>8.6</v>
      </c>
    </row>
    <row r="28">
      <c r="A28" t="inlineStr">
        <is>
          <t>ARPU @ break-even (2x)</t>
        </is>
      </c>
      <c r="B28" s="8" t="n">
        <v>16</v>
      </c>
      <c r="C28" s="8" t="n">
        <v>15</v>
      </c>
      <c r="D28" s="8" t="n">
        <v>17</v>
      </c>
    </row>
    <row r="29">
      <c r="A29" t="inlineStr">
        <is>
          <t>ARPU @ healthy (4x)</t>
        </is>
      </c>
      <c r="B29" s="8" t="n">
        <v>32</v>
      </c>
      <c r="C29" s="8" t="n">
        <v>29</v>
      </c>
      <c r="D29" s="8" t="n">
        <v>34</v>
      </c>
    </row>
    <row r="30">
      <c r="A30" t="inlineStr">
        <is>
          <t>MRR @ 4x ARPU</t>
        </is>
      </c>
      <c r="B30" s="6" t="n">
        <v>16000</v>
      </c>
      <c r="C30" s="6" t="n">
        <v>44000</v>
      </c>
      <c r="D30" s="6" t="n">
        <v>103000</v>
      </c>
    </row>
    <row r="31">
      <c r="A31" t="inlineStr">
        <is>
          <t>Gross margin @ $35 ARPU</t>
        </is>
      </c>
      <c r="B31" s="44" t="n">
        <v>0.77</v>
      </c>
      <c r="C31" s="44" t="n">
        <v>0.79</v>
      </c>
      <c r="D31" s="44" t="n">
        <v>0.75</v>
      </c>
    </row>
    <row r="32">
      <c r="A32" t="inlineStr">
        <is>
          <t>Gross margin @ $50 ARPU</t>
        </is>
      </c>
      <c r="B32" s="44" t="n">
        <v>0.84</v>
      </c>
      <c r="C32" s="44" t="n">
        <v>0.85</v>
      </c>
      <c r="D32" s="44" t="n">
        <v>0.83</v>
      </c>
    </row>
  </sheetData>
  <mergeCells count="4">
    <mergeCell ref="A10:E10"/>
    <mergeCell ref="A1:E1"/>
    <mergeCell ref="A24:E2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2026-08-17T22:48:46Z</dcterms:created>
  <dcterms:modified xsi:type="dcterms:W3CDTF">2026-08-17T22:48:46Z</dcterms:modified>
</cp:coreProperties>
</file>