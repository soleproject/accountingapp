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" sheetId="1" state="visible" r:id="rId1"/>
    <sheet name="2. Hard Costs @ 0 Clients" sheetId="2" state="visible" r:id="rId2"/>
    <sheet name="3. 30-60-90-180 Cash Flow" sheetId="3" state="visible" r:id="rId3"/>
    <sheet name="4. Tech Outsource" sheetId="4" state="visible" r:id="rId4"/>
    <sheet name="5. Scale Costs" sheetId="5" state="visible" r:id="rId5"/>
    <sheet name="6. AI Deep Dive" sheetId="6" state="visible" r:id="rId6"/>
    <sheet name="7. Security" sheetId="7" state="visible" r:id="rId7"/>
    <sheet name="8. Profit Breakdown" sheetId="8" state="visible" r:id="rId8"/>
    <sheet name="9. Hire 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0.0"/>
    <numFmt numFmtId="168" formatCode="$#,##0.00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9"/>
    </font>
    <font>
      <name val="Calibri"/>
      <b val="1"/>
      <color rgb="000F172A"/>
      <sz val="12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9" fontId="6" fillId="3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pivotButton="0" quotePrefix="0" xfId="0"/>
    <xf numFmtId="164" fontId="6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6" fillId="5" borderId="1" pivotButton="0" quotePrefix="0" xfId="0"/>
    <xf numFmtId="164" fontId="6" fillId="5" borderId="1" pivotButton="0" quotePrefix="0" xfId="0"/>
    <xf numFmtId="164" fontId="0" fillId="6" borderId="0" pivotButton="0" quotePrefix="0" xfId="0"/>
    <xf numFmtId="0" fontId="6" fillId="0" borderId="0" pivotButton="0" quotePrefix="0" xfId="0"/>
    <xf numFmtId="167" fontId="0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164" fontId="6" fillId="0" borderId="1" pivotButton="0" quotePrefix="0" xfId="0"/>
    <xf numFmtId="0" fontId="3" fillId="6" borderId="1" pivotButton="0" quotePrefix="0" xfId="0"/>
    <xf numFmtId="164" fontId="3" fillId="6" borderId="1" pivotButton="0" quotePrefix="0" xfId="0"/>
    <xf numFmtId="0" fontId="5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8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SmartBooks — Tech-Only Cost Model (v5, Feb 2026)</t>
        </is>
      </c>
    </row>
    <row r="2">
      <c r="A2" s="2" t="inlineStr">
        <is>
          <t>Engineering, infra, AI, security and dev tooling only. No payroll, HR, recruiting, legal, or GTM content.</t>
        </is>
      </c>
    </row>
    <row r="4">
      <c r="A4" s="3" t="inlineStr">
        <is>
          <t>PRODUCT PRICING TIERS</t>
        </is>
      </c>
    </row>
    <row r="5">
      <c r="A5" s="4" t="inlineStr">
        <is>
          <t>Tier</t>
        </is>
      </c>
      <c r="B5" s="4" t="inlineStr">
        <is>
          <t>Price / mo</t>
        </is>
      </c>
      <c r="C5" s="4" t="inlineStr">
        <is>
          <t>Target segment</t>
        </is>
      </c>
      <c r="D5" s="4" t="inlineStr">
        <is>
          <t>Assumed mix %</t>
        </is>
      </c>
      <c r="E5" s="4" t="inlineStr">
        <is>
          <t>Blended contribution</t>
        </is>
      </c>
      <c r="F5" s="4" t="inlineStr"/>
    </row>
    <row r="6">
      <c r="A6" s="5" t="inlineStr">
        <is>
          <t>Solo / Starter</t>
        </is>
      </c>
      <c r="B6" s="6" t="n">
        <v>38</v>
      </c>
      <c r="C6" s="5" t="inlineStr">
        <is>
          <t>Sole trader / 1 client</t>
        </is>
      </c>
      <c r="D6" s="7" t="n">
        <v>0.4</v>
      </c>
      <c r="E6" s="8" t="n">
        <v>15.2</v>
      </c>
      <c r="F6" s="5" t="inlineStr"/>
    </row>
    <row r="7">
      <c r="A7" s="5" t="inlineStr">
        <is>
          <t>Standard</t>
        </is>
      </c>
      <c r="B7" s="6" t="n">
        <v>75</v>
      </c>
      <c r="C7" s="5" t="inlineStr">
        <is>
          <t>Bookkeeper w/ up to 5 clients</t>
        </is>
      </c>
      <c r="D7" s="7" t="n">
        <v>0.35</v>
      </c>
      <c r="E7" s="8" t="n">
        <v>26.25</v>
      </c>
      <c r="F7" s="5" t="inlineStr"/>
    </row>
    <row r="8">
      <c r="A8" s="5" t="inlineStr">
        <is>
          <t>Pro</t>
        </is>
      </c>
      <c r="B8" s="6" t="n">
        <v>95</v>
      </c>
      <c r="C8" s="5" t="inlineStr">
        <is>
          <t>Firm w/ 10-30 clients</t>
        </is>
      </c>
      <c r="D8" s="7" t="n">
        <v>0.15</v>
      </c>
      <c r="E8" s="8" t="n">
        <v>14.25</v>
      </c>
      <c r="F8" s="5" t="inlineStr"/>
    </row>
    <row r="9">
      <c r="A9" s="5" t="inlineStr">
        <is>
          <t>Enterprise</t>
        </is>
      </c>
      <c r="B9" s="6" t="n">
        <v>149</v>
      </c>
      <c r="C9" s="5" t="inlineStr">
        <is>
          <t>Partner / 50+ clients / SSO</t>
        </is>
      </c>
      <c r="D9" s="7" t="n">
        <v>0.1</v>
      </c>
      <c r="E9" s="8" t="n">
        <v>14.9</v>
      </c>
      <c r="F9" s="5" t="inlineStr"/>
    </row>
    <row r="10">
      <c r="A10" s="9" t="inlineStr">
        <is>
          <t>BLENDED ARPU</t>
        </is>
      </c>
      <c r="B10" s="10" t="n">
        <v>70.60000000000001</v>
      </c>
      <c r="C10" s="9" t="inlineStr">
        <is>
          <t>Used for all revenue forecasts</t>
        </is>
      </c>
      <c r="D10" s="11" t="n">
        <v>1</v>
      </c>
      <c r="E10" s="10" t="n">
        <v>70.60000000000001</v>
      </c>
      <c r="F10" s="9" t="inlineStr"/>
    </row>
    <row r="12">
      <c r="A12" s="3" t="inlineStr">
        <is>
          <t>HARD COSTS AT ZERO CLIENTS</t>
        </is>
      </c>
    </row>
    <row r="13">
      <c r="A13" s="4" t="inlineStr">
        <is>
          <t>Scenario</t>
        </is>
      </c>
      <c r="B13" s="4" t="inlineStr">
        <is>
          <t>$/mo</t>
        </is>
      </c>
      <c r="C13" s="4" t="inlineStr">
        <is>
          <t>Note</t>
        </is>
      </c>
      <c r="D13" s="4" t="inlineStr"/>
      <c r="E13" s="4" t="inlineStr"/>
      <c r="F13" s="4" t="inlineStr"/>
    </row>
    <row r="14">
      <c r="A14" s="5" t="inlineStr">
        <is>
          <t>Bare-minimum floor (paused build)</t>
        </is>
      </c>
      <c r="B14" s="6" t="n">
        <v>2100</v>
      </c>
      <c r="C14" s="5" t="inlineStr">
        <is>
          <t>Plaid + Veryfi + Railway + core SaaS + Cloudflare</t>
        </is>
      </c>
      <c r="D14" s="5" t="inlineStr"/>
      <c r="E14" s="5" t="inlineStr"/>
      <c r="F14" s="5" t="inlineStr"/>
    </row>
    <row r="15">
      <c r="A15" s="5" t="inlineStr">
        <is>
          <t>Steady-state (1 fractional dev, no LLM burn)</t>
        </is>
      </c>
      <c r="B15" s="6" t="n">
        <v>5500</v>
      </c>
      <c r="C15" s="5" t="inlineStr">
        <is>
          <t>Floor + $3k/mo fractional + $500/mo LLM</t>
        </is>
      </c>
      <c r="D15" s="5" t="inlineStr"/>
      <c r="E15" s="5" t="inlineStr"/>
      <c r="F15" s="5" t="inlineStr"/>
    </row>
    <row r="16">
      <c r="A16" s="5" t="inlineStr">
        <is>
          <t>Current heavy-build burn</t>
        </is>
      </c>
      <c r="B16" s="6" t="n">
        <v>15500</v>
      </c>
      <c r="C16" s="5" t="inlineStr">
        <is>
          <t>Floor + $6k Emergent LLM + $6k contract devs</t>
        </is>
      </c>
      <c r="D16" s="5" t="inlineStr"/>
      <c r="E16" s="5" t="inlineStr"/>
      <c r="F16" s="5" t="inlineStr"/>
    </row>
    <row r="19">
      <c r="A19" s="3" t="inlineStr">
        <is>
          <t>PROFIT SNAPSHOT (blended $71 ARPU)</t>
        </is>
      </c>
    </row>
    <row r="20">
      <c r="A20" s="4" t="inlineStr">
        <is>
          <t>Users</t>
        </is>
      </c>
      <c r="B20" s="4" t="inlineStr">
        <is>
          <t>MRR</t>
        </is>
      </c>
      <c r="C20" s="4" t="inlineStr">
        <is>
          <t>Monthly tech cost</t>
        </is>
      </c>
      <c r="D20" s="4" t="inlineStr">
        <is>
          <t>Gross profit</t>
        </is>
      </c>
      <c r="E20" s="4" t="inlineStr">
        <is>
          <t>Gross margin</t>
        </is>
      </c>
      <c r="F20" s="4" t="inlineStr"/>
    </row>
    <row r="21">
      <c r="A21" s="5" t="n">
        <v>100</v>
      </c>
      <c r="B21" s="6" t="n">
        <v>7060.000000000001</v>
      </c>
      <c r="C21" s="6" t="n">
        <v>3500</v>
      </c>
      <c r="D21" s="6" t="n">
        <v>3560.000000000001</v>
      </c>
      <c r="E21" s="12" t="n">
        <v>0.5042492917847026</v>
      </c>
      <c r="F21" s="5" t="inlineStr"/>
    </row>
    <row r="22">
      <c r="A22" s="5" t="n">
        <v>250</v>
      </c>
      <c r="B22" s="6" t="n">
        <v>17650</v>
      </c>
      <c r="C22" s="6" t="n">
        <v>4500</v>
      </c>
      <c r="D22" s="6" t="n">
        <v>13150</v>
      </c>
      <c r="E22" s="12" t="n">
        <v>0.7450424929178471</v>
      </c>
      <c r="F22" s="5" t="inlineStr"/>
    </row>
    <row r="23">
      <c r="A23" s="5" t="n">
        <v>500</v>
      </c>
      <c r="B23" s="6" t="n">
        <v>35300.00000000001</v>
      </c>
      <c r="C23" s="6" t="n">
        <v>4000</v>
      </c>
      <c r="D23" s="6" t="n">
        <v>31300.00000000001</v>
      </c>
      <c r="E23" s="12" t="n">
        <v>0.886685552407932</v>
      </c>
      <c r="F23" s="5" t="inlineStr"/>
    </row>
    <row r="24">
      <c r="A24" s="5" t="n">
        <v>1500</v>
      </c>
      <c r="B24" s="6" t="n">
        <v>105900</v>
      </c>
      <c r="C24" s="6" t="n">
        <v>11000</v>
      </c>
      <c r="D24" s="6" t="n">
        <v>94900.00000000001</v>
      </c>
      <c r="E24" s="12" t="n">
        <v>0.8961284230406044</v>
      </c>
      <c r="F24" s="5" t="inlineStr"/>
    </row>
    <row r="25">
      <c r="A25" s="5" t="n">
        <v>3000</v>
      </c>
      <c r="B25" s="6" t="n">
        <v>211800</v>
      </c>
      <c r="C25" s="6" t="n">
        <v>26000</v>
      </c>
      <c r="D25" s="6" t="n">
        <v>185800</v>
      </c>
      <c r="E25" s="12" t="n">
        <v>0.8772426817752597</v>
      </c>
      <c r="F25" s="5" t="inlineStr"/>
    </row>
    <row r="28">
      <c r="A28" s="3" t="inlineStr">
        <is>
          <t>PITCH ONE-LINER</t>
        </is>
      </c>
    </row>
    <row r="29">
      <c r="A29" s="13" t="inlineStr">
        <is>
          <t>At 1,500 paid users on a blended $71 ARPU, SmartBooks runs ~$11k/mo of pure tech cost against ~$106k MRR — 90% gross margin on the infra layer. Today's pre-revenue burn is ~$15.5k/mo of which $12k is temporary build velocity that tapers by month 6.</t>
        </is>
      </c>
    </row>
  </sheetData>
  <mergeCells count="7">
    <mergeCell ref="A2:F2"/>
    <mergeCell ref="A28:F28"/>
    <mergeCell ref="A19:F19"/>
    <mergeCell ref="A1:F1"/>
    <mergeCell ref="A12:F12"/>
    <mergeCell ref="A4:F4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Hard Tech Costs at Zero Paying Clients (Feb 2026)</t>
        </is>
      </c>
    </row>
    <row r="2">
      <c r="A2" s="2" t="inlineStr">
        <is>
          <t>Every recurring $ that leaves the account with no revenue coming in. Split into fixed floor, temporary build spend, and stuff we could pause.</t>
        </is>
      </c>
    </row>
    <row r="4">
      <c r="A4" s="3" t="inlineStr">
        <is>
          <t>A. FIXED FLOOR — cannot pause</t>
        </is>
      </c>
    </row>
    <row r="5">
      <c r="A5" s="4" t="inlineStr">
        <is>
          <t>Line item</t>
        </is>
      </c>
      <c r="B5" s="4" t="inlineStr">
        <is>
          <t>$/mo</t>
        </is>
      </c>
      <c r="C5" s="4" t="inlineStr">
        <is>
          <t>Category</t>
        </is>
      </c>
      <c r="D5" s="4" t="inlineStr">
        <is>
          <t>Why unavoidable</t>
        </is>
      </c>
    </row>
    <row r="6">
      <c r="A6" s="5" t="inlineStr">
        <is>
          <t>Plaid — production minimum</t>
        </is>
      </c>
      <c r="B6" s="6" t="n">
        <v>1065</v>
      </c>
      <c r="C6" s="5" t="inlineStr">
        <is>
          <t>Banking</t>
        </is>
      </c>
      <c r="D6" s="5" t="inlineStr">
        <is>
          <t>Contract-mandated production floor for bank feeds</t>
        </is>
      </c>
    </row>
    <row r="7">
      <c r="A7" s="5" t="inlineStr">
        <is>
          <t>Veryfi — OCR minimum</t>
        </is>
      </c>
      <c r="B7" s="6" t="n">
        <v>500</v>
      </c>
      <c r="C7" s="5" t="inlineStr">
        <is>
          <t>OCR</t>
        </is>
      </c>
      <c r="D7" s="5" t="inlineStr">
        <is>
          <t>Contract floor for receipt / bill OCR</t>
        </is>
      </c>
    </row>
    <row r="8">
      <c r="A8" s="5" t="inlineStr">
        <is>
          <t>Railway (backend + Redis)</t>
        </is>
      </c>
      <c r="B8" s="6" t="n">
        <v>300</v>
      </c>
      <c r="C8" s="5" t="inlineStr">
        <is>
          <t>Infra</t>
        </is>
      </c>
      <c r="D8" s="5" t="inlineStr">
        <is>
          <t>Backend + Redis for the running app</t>
        </is>
      </c>
    </row>
    <row r="9">
      <c r="A9" s="5" t="inlineStr">
        <is>
          <t>MongoDB Atlas (shared M10 → M20)</t>
        </is>
      </c>
      <c r="B9" s="6" t="n">
        <v>100</v>
      </c>
      <c r="C9" s="5" t="inlineStr">
        <is>
          <t>Database</t>
        </is>
      </c>
      <c r="D9" s="5" t="inlineStr">
        <is>
          <t>Primary data store</t>
        </is>
      </c>
    </row>
    <row r="10">
      <c r="A10" s="5" t="inlineStr">
        <is>
          <t>Cloudflare (Pro + WAF)</t>
        </is>
      </c>
      <c r="B10" s="6" t="n">
        <v>25</v>
      </c>
      <c r="C10" s="5" t="inlineStr">
        <is>
          <t>Perimeter</t>
        </is>
      </c>
      <c r="D10" s="5" t="inlineStr">
        <is>
          <t>DNS, cache, WAF, DDoS — non-negotiable</t>
        </is>
      </c>
    </row>
    <row r="11">
      <c r="A11" s="5" t="inlineStr">
        <is>
          <t>Google Workspace (1 seat)</t>
        </is>
      </c>
      <c r="B11" s="6" t="n">
        <v>12</v>
      </c>
      <c r="C11" s="5" t="inlineStr">
        <is>
          <t>Ops</t>
        </is>
      </c>
      <c r="D11" s="5" t="inlineStr">
        <is>
          <t>Domain email + calendar</t>
        </is>
      </c>
    </row>
    <row r="12">
      <c r="A12" s="5" t="inlineStr">
        <is>
          <t>Domain renewals (amortised)</t>
        </is>
      </c>
      <c r="B12" s="6" t="n">
        <v>10</v>
      </c>
      <c r="C12" s="5" t="inlineStr">
        <is>
          <t>Ops</t>
        </is>
      </c>
      <c r="D12" s="5" t="inlineStr">
        <is>
          <t>smartbooks.ai etc.</t>
        </is>
      </c>
    </row>
    <row r="13">
      <c r="A13" s="5" t="inlineStr">
        <is>
          <t>1Password Business (1 seat)</t>
        </is>
      </c>
      <c r="B13" s="6" t="n">
        <v>8</v>
      </c>
      <c r="C13" s="5" t="inlineStr">
        <is>
          <t>Security</t>
        </is>
      </c>
      <c r="D13" s="5" t="inlineStr">
        <is>
          <t>Founder credential vault</t>
        </is>
      </c>
    </row>
    <row r="14">
      <c r="A14" s="5" t="inlineStr">
        <is>
          <t>GitHub Team (1 seat)</t>
        </is>
      </c>
      <c r="B14" s="6" t="n">
        <v>4</v>
      </c>
      <c r="C14" s="5" t="inlineStr">
        <is>
          <t>Dev tools</t>
        </is>
      </c>
      <c r="D14" s="5" t="inlineStr">
        <is>
          <t>Source control + issue tracking</t>
        </is>
      </c>
    </row>
    <row r="15">
      <c r="A15" s="5" t="inlineStr">
        <is>
          <t>Sentry (free tier)</t>
        </is>
      </c>
      <c r="B15" s="6" t="n">
        <v>0</v>
      </c>
      <c r="C15" s="5" t="inlineStr">
        <is>
          <t>Monitoring</t>
        </is>
      </c>
      <c r="D15" s="5" t="inlineStr">
        <is>
          <t>Errors + traces; upgrade at 5k events/mo</t>
        </is>
      </c>
    </row>
    <row r="16">
      <c r="A16" s="5" t="inlineStr">
        <is>
          <t>Resend (free tier — 3k emails/mo)</t>
        </is>
      </c>
      <c r="B16" s="6" t="n">
        <v>0</v>
      </c>
      <c r="C16" s="5" t="inlineStr">
        <is>
          <t>Email</t>
        </is>
      </c>
      <c r="D16" s="5" t="inlineStr">
        <is>
          <t>Transactional email until paid signups</t>
        </is>
      </c>
    </row>
    <row r="17">
      <c r="A17" s="14" t="inlineStr">
        <is>
          <t>Sub-total — fixed floor</t>
        </is>
      </c>
      <c r="B17" s="15">
        <f>SUM(B6:B16)</f>
        <v/>
      </c>
      <c r="C17" s="14" t="n"/>
      <c r="D17" s="14" t="n"/>
    </row>
    <row r="19">
      <c r="A19" s="3" t="inlineStr">
        <is>
          <t>B. TEMPORARY BUILD SPEND — tapers by month 6</t>
        </is>
      </c>
    </row>
    <row r="20">
      <c r="A20" s="4" t="inlineStr">
        <is>
          <t>Line item</t>
        </is>
      </c>
      <c r="B20" s="4" t="inlineStr">
        <is>
          <t>$/mo</t>
        </is>
      </c>
      <c r="C20" s="4" t="inlineStr">
        <is>
          <t>Category</t>
        </is>
      </c>
      <c r="D20" s="4" t="inlineStr">
        <is>
          <t>How it tapers</t>
        </is>
      </c>
    </row>
    <row r="21">
      <c r="A21" s="5" t="inlineStr">
        <is>
          <t>Emergent LLM (dev credits)</t>
        </is>
      </c>
      <c r="B21" s="6" t="n">
        <v>6000</v>
      </c>
      <c r="C21" s="5" t="inlineStr">
        <is>
          <t>AI</t>
        </is>
      </c>
      <c r="D21" s="5" t="inlineStr">
        <is>
          <t>Drops to $500–1,500/mo once heavy build ends</t>
        </is>
      </c>
    </row>
    <row r="22">
      <c r="A22" s="5" t="inlineStr">
        <is>
          <t>Emergent contract developers</t>
        </is>
      </c>
      <c r="B22" s="6" t="n">
        <v>6000</v>
      </c>
      <c r="C22" s="5" t="inlineStr">
        <is>
          <t>Engineering</t>
        </is>
      </c>
      <c r="D22" s="5" t="inlineStr">
        <is>
          <t>Time-bound — 3–4 more months of heavy build</t>
        </is>
      </c>
    </row>
    <row r="23">
      <c r="A23" s="5" t="inlineStr">
        <is>
          <t>Extra Railway compute during dev</t>
        </is>
      </c>
      <c r="B23" s="6" t="n">
        <v>100</v>
      </c>
      <c r="C23" s="5" t="inlineStr">
        <is>
          <t>Infra</t>
        </is>
      </c>
      <c r="D23" s="5" t="inlineStr">
        <is>
          <t>Right-size once feature velocity slows</t>
        </is>
      </c>
    </row>
    <row r="24">
      <c r="A24" s="16" t="inlineStr">
        <is>
          <t>Sub-total — temporary</t>
        </is>
      </c>
      <c r="B24" s="17">
        <f>SUM(B21:B23)</f>
        <v/>
      </c>
      <c r="C24" s="16" t="n"/>
      <c r="D24" s="16" t="n"/>
    </row>
    <row r="26">
      <c r="A26" s="3" t="inlineStr">
        <is>
          <t>C. OPTIONAL / PAUSABLE — nice-to-have during pre-revenue</t>
        </is>
      </c>
    </row>
    <row r="27">
      <c r="A27" s="4" t="inlineStr">
        <is>
          <t>Line item</t>
        </is>
      </c>
      <c r="B27" s="4" t="inlineStr">
        <is>
          <t>$/mo</t>
        </is>
      </c>
      <c r="C27" s="4" t="inlineStr">
        <is>
          <t>Category</t>
        </is>
      </c>
      <c r="D27" s="4" t="inlineStr">
        <is>
          <t>Impact if paused</t>
        </is>
      </c>
    </row>
    <row r="28">
      <c r="A28" s="5" t="inlineStr">
        <is>
          <t>Datadog / Logtail</t>
        </is>
      </c>
      <c r="B28" s="6" t="n">
        <v>70</v>
      </c>
      <c r="C28" s="5" t="inlineStr">
        <is>
          <t>Monitoring</t>
        </is>
      </c>
      <c r="D28" s="5" t="inlineStr">
        <is>
          <t>Fall back to free tier; lose log retention</t>
        </is>
      </c>
    </row>
    <row r="29">
      <c r="A29" s="5" t="inlineStr">
        <is>
          <t>Snyk / Semgrep dependency scan</t>
        </is>
      </c>
      <c r="B29" s="6" t="n">
        <v>30</v>
      </c>
      <c r="C29" s="5" t="inlineStr">
        <is>
          <t>Security</t>
        </is>
      </c>
      <c r="D29" s="5" t="inlineStr">
        <is>
          <t>Use free GitHub Dependabot instead</t>
        </is>
      </c>
    </row>
    <row r="30">
      <c r="A30" s="5" t="inlineStr">
        <is>
          <t>Doppler / Infisical (secrets)</t>
        </is>
      </c>
      <c r="B30" s="6" t="n">
        <v>25</v>
      </c>
      <c r="C30" s="5" t="inlineStr">
        <is>
          <t>Security</t>
        </is>
      </c>
      <c r="D30" s="5" t="inlineStr">
        <is>
          <t>Fall back to .env files (lose rotation)</t>
        </is>
      </c>
    </row>
    <row r="31">
      <c r="A31" s="5" t="inlineStr">
        <is>
          <t>Figma Professional</t>
        </is>
      </c>
      <c r="B31" s="6" t="n">
        <v>15</v>
      </c>
      <c r="C31" s="5" t="inlineStr">
        <is>
          <t>Design</t>
        </is>
      </c>
      <c r="D31" s="5" t="inlineStr">
        <is>
          <t>Use free tier during pre-revenue</t>
        </is>
      </c>
    </row>
    <row r="32">
      <c r="A32" s="5" t="inlineStr">
        <is>
          <t>ChatGPT Team seat</t>
        </is>
      </c>
      <c r="B32" s="6" t="n">
        <v>25</v>
      </c>
      <c r="C32" s="5" t="inlineStr">
        <is>
          <t>AI</t>
        </is>
      </c>
      <c r="D32" s="5" t="inlineStr">
        <is>
          <t>Fall back to personal Plus</t>
        </is>
      </c>
    </row>
    <row r="33">
      <c r="A33" s="5" t="inlineStr">
        <is>
          <t>Preview branch environments</t>
        </is>
      </c>
      <c r="B33" s="6" t="n">
        <v>40</v>
      </c>
      <c r="C33" s="5" t="inlineStr">
        <is>
          <t>Infra</t>
        </is>
      </c>
      <c r="D33" s="5" t="inlineStr">
        <is>
          <t>Test on main only until launch</t>
        </is>
      </c>
    </row>
    <row r="34">
      <c r="A34" s="18" t="inlineStr">
        <is>
          <t>Sub-total — optional</t>
        </is>
      </c>
      <c r="B34" s="19">
        <f>SUM(B28:B33)</f>
        <v/>
      </c>
      <c r="C34" s="18" t="n"/>
      <c r="D34" s="18" t="n"/>
    </row>
    <row r="36">
      <c r="A36" s="14" t="inlineStr">
        <is>
          <t>TOTAL BURN AT 0 CLIENTS</t>
        </is>
      </c>
      <c r="B36" s="15">
        <f>B17+B24+B34</f>
        <v/>
      </c>
      <c r="C36" s="14" t="n"/>
      <c r="D36" s="14" t="n"/>
    </row>
    <row r="38">
      <c r="A38" s="3" t="inlineStr">
        <is>
          <t>RUNWAY CALCULATOR</t>
        </is>
      </c>
    </row>
    <row r="39">
      <c r="A39" t="inlineStr">
        <is>
          <t>Cash on hand (edit)</t>
        </is>
      </c>
      <c r="B39" s="20" t="n">
        <v>150000</v>
      </c>
    </row>
    <row r="40">
      <c r="A40" s="21" t="inlineStr">
        <is>
          <t>Runway @ current burn (all three)</t>
        </is>
      </c>
      <c r="B40" s="22">
        <f>B39/(B17+B24+B34)</f>
        <v/>
      </c>
      <c r="C40" s="2" t="inlineStr">
        <is>
          <t>months</t>
        </is>
      </c>
    </row>
    <row r="41">
      <c r="A41" s="21" t="inlineStr">
        <is>
          <t>Runway @ floor + optional only (paused build)</t>
        </is>
      </c>
      <c r="B41" s="22">
        <f>B39/(B17+B34)</f>
        <v/>
      </c>
      <c r="C41" s="2" t="inlineStr">
        <is>
          <t>months</t>
        </is>
      </c>
    </row>
    <row r="42">
      <c r="A42" s="21" t="inlineStr">
        <is>
          <t>Runway @ absolute floor only</t>
        </is>
      </c>
      <c r="B42" s="22">
        <f>B39/B17</f>
        <v/>
      </c>
      <c r="C42" s="2" t="inlineStr">
        <is>
          <t>months</t>
        </is>
      </c>
    </row>
  </sheetData>
  <mergeCells count="6">
    <mergeCell ref="A1:D1"/>
    <mergeCell ref="A4:D4"/>
    <mergeCell ref="A26:D26"/>
    <mergeCell ref="A38:D38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30 / 60 / 90 / 180 Day Cash Flow — ALL-IN</t>
        </is>
      </c>
    </row>
    <row r="2">
      <c r="A2" s="2" t="inlineStr">
        <is>
          <t>Every $ that leaves the account: hard costs + AI + security + outsource + any FTEs. Assumes UK launch by day 60. Realistic user ramp 0→10→40→100. Revenue = paid users × $70.60 blended ARPU.</t>
        </is>
      </c>
    </row>
    <row r="4">
      <c r="A4" s="3" t="inlineStr">
        <is>
          <t>TEAM ROSTER IN THIS 180-DAY WINDOW</t>
        </is>
      </c>
    </row>
    <row r="5">
      <c r="A5" s="4" t="inlineStr">
        <is>
          <t>Role</t>
        </is>
      </c>
      <c r="B5" s="4" t="inlineStr">
        <is>
          <t>Day 0–30</t>
        </is>
      </c>
      <c r="C5" s="4" t="inlineStr">
        <is>
          <t>Day 30–60</t>
        </is>
      </c>
      <c r="D5" s="4" t="inlineStr">
        <is>
          <t>Day 60–90</t>
        </is>
      </c>
      <c r="E5" s="4" t="inlineStr">
        <is>
          <t>Day 90–180</t>
        </is>
      </c>
      <c r="F5" s="4" t="inlineStr">
        <is>
          <t>Notes</t>
        </is>
      </c>
    </row>
    <row r="6">
      <c r="A6" s="5" t="inlineStr">
        <is>
          <t>2 founders (unpaid — sweat equity)</t>
        </is>
      </c>
      <c r="B6" s="5" t="inlineStr">
        <is>
          <t>Yes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Not on P&amp;L</t>
        </is>
      </c>
    </row>
    <row r="7">
      <c r="A7" s="5" t="inlineStr">
        <is>
          <t>Emergent contract dev (fractional)</t>
        </is>
      </c>
      <c r="B7" s="5" t="inlineStr">
        <is>
          <t>Yes</t>
        </is>
      </c>
      <c r="C7" s="5" t="inlineStr">
        <is>
          <t>Yes</t>
        </is>
      </c>
      <c r="D7" s="5" t="inlineStr">
        <is>
          <t>Taper</t>
        </is>
      </c>
      <c r="E7" s="5" t="inlineStr">
        <is>
          <t>Sunset</t>
        </is>
      </c>
      <c r="F7" s="5" t="inlineStr">
        <is>
          <t>Sunsets month 5 as build stabilises</t>
        </is>
      </c>
    </row>
    <row r="8">
      <c r="A8" s="5" t="inlineStr">
        <is>
          <t>Fractional QA engineer</t>
        </is>
      </c>
      <c r="B8" s="5" t="inlineStr">
        <is>
          <t>—</t>
        </is>
      </c>
      <c r="C8" s="5" t="inlineStr">
        <is>
          <t>—</t>
        </is>
      </c>
      <c r="D8" s="5" t="inlineStr">
        <is>
          <t>Start</t>
        </is>
      </c>
      <c r="E8" s="5" t="inlineStr">
        <is>
          <t>Yes</t>
        </is>
      </c>
      <c r="F8" s="5" t="inlineStr">
        <is>
          <t>Starts at UK launch (day 60)</t>
        </is>
      </c>
    </row>
    <row r="9">
      <c r="A9" s="5" t="inlineStr">
        <is>
          <t>FTE hires (any)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None triggered — $25k MRR not hit in 180d</t>
        </is>
      </c>
    </row>
    <row r="12">
      <c r="A12" s="3" t="inlineStr">
        <is>
          <t>MONTHLY COST BREAKDOWN</t>
        </is>
      </c>
    </row>
    <row r="13">
      <c r="A13" s="4" t="inlineStr">
        <is>
          <t>Category / line</t>
        </is>
      </c>
      <c r="B13" s="4" t="inlineStr">
        <is>
          <t>Day 0–30</t>
        </is>
      </c>
      <c r="C13" s="4" t="inlineStr">
        <is>
          <t>Day 30–60</t>
        </is>
      </c>
      <c r="D13" s="4" t="inlineStr">
        <is>
          <t>Day 60–90</t>
        </is>
      </c>
      <c r="E13" s="4" t="inlineStr">
        <is>
          <t>Day 90–180 (mo avg)</t>
        </is>
      </c>
      <c r="F13" s="4" t="inlineStr">
        <is>
          <t>180-day total</t>
        </is>
      </c>
    </row>
    <row r="14">
      <c r="A14" s="23" t="inlineStr">
        <is>
          <t>INFRA &amp; HARD COSTS</t>
        </is>
      </c>
      <c r="B14" s="23" t="inlineStr"/>
      <c r="C14" s="23" t="inlineStr"/>
      <c r="D14" s="23" t="inlineStr"/>
      <c r="E14" s="23" t="inlineStr"/>
      <c r="F14" s="23" t="inlineStr"/>
    </row>
    <row r="15">
      <c r="A15" s="5" t="inlineStr">
        <is>
          <t xml:space="preserve">  Plaid</t>
        </is>
      </c>
      <c r="B15" s="6" t="n">
        <v>1065</v>
      </c>
      <c r="C15" s="6" t="n">
        <v>1065</v>
      </c>
      <c r="D15" s="6" t="n">
        <v>1100</v>
      </c>
      <c r="E15" s="6" t="n">
        <v>1200</v>
      </c>
      <c r="F15" s="6" t="n">
        <v>6830</v>
      </c>
    </row>
    <row r="16">
      <c r="A16" s="5" t="inlineStr">
        <is>
          <t xml:space="preserve">  Veryfi OCR</t>
        </is>
      </c>
      <c r="B16" s="6" t="n">
        <v>500</v>
      </c>
      <c r="C16" s="6" t="n">
        <v>500</v>
      </c>
      <c r="D16" s="6" t="n">
        <v>550</v>
      </c>
      <c r="E16" s="6" t="n">
        <v>700</v>
      </c>
      <c r="F16" s="6" t="n">
        <v>3650</v>
      </c>
    </row>
    <row r="17">
      <c r="A17" s="5" t="inlineStr">
        <is>
          <t xml:space="preserve">  Railway + Mongo + Redis</t>
        </is>
      </c>
      <c r="B17" s="6" t="n">
        <v>450</v>
      </c>
      <c r="C17" s="6" t="n">
        <v>500</v>
      </c>
      <c r="D17" s="6" t="n">
        <v>600</v>
      </c>
      <c r="E17" s="6" t="n">
        <v>850</v>
      </c>
      <c r="F17" s="6" t="n">
        <v>4100</v>
      </c>
    </row>
    <row r="18">
      <c r="A18" s="5" t="inlineStr">
        <is>
          <t xml:space="preserve">  Cloudflare + perimeter</t>
        </is>
      </c>
      <c r="B18" s="6" t="n">
        <v>25</v>
      </c>
      <c r="C18" s="6" t="n">
        <v>25</v>
      </c>
      <c r="D18" s="6" t="n">
        <v>40</v>
      </c>
      <c r="E18" s="6" t="n">
        <v>80</v>
      </c>
      <c r="F18" s="6" t="n">
        <v>330</v>
      </c>
    </row>
    <row r="19">
      <c r="A19" s="5" t="inlineStr">
        <is>
          <t xml:space="preserve">  Domain, Workspace, 1PW, GH</t>
        </is>
      </c>
      <c r="B19" s="6" t="n">
        <v>50</v>
      </c>
      <c r="C19" s="6" t="n">
        <v>55</v>
      </c>
      <c r="D19" s="6" t="n">
        <v>60</v>
      </c>
      <c r="E19" s="6" t="n">
        <v>90</v>
      </c>
      <c r="F19" s="6" t="n">
        <v>435</v>
      </c>
    </row>
    <row r="20">
      <c r="A20" s="5" t="inlineStr">
        <is>
          <t xml:space="preserve">  Backups (immutable + PITR)</t>
        </is>
      </c>
      <c r="B20" s="6" t="n">
        <v>20</v>
      </c>
      <c r="C20" s="6" t="n">
        <v>30</v>
      </c>
      <c r="D20" s="6" t="n">
        <v>40</v>
      </c>
      <c r="E20" s="6" t="n">
        <v>80</v>
      </c>
      <c r="F20" s="6" t="n">
        <v>330</v>
      </c>
    </row>
    <row r="21">
      <c r="A21" s="23" t="inlineStr">
        <is>
          <t>AI</t>
        </is>
      </c>
      <c r="B21" s="23" t="inlineStr"/>
      <c r="C21" s="23" t="inlineStr"/>
      <c r="D21" s="23" t="inlineStr"/>
      <c r="E21" s="23" t="inlineStr"/>
      <c r="F21" s="23" t="inlineStr"/>
    </row>
    <row r="22">
      <c r="A22" s="5" t="inlineStr">
        <is>
          <t xml:space="preserve">  Emergent LLM (dev credits)</t>
        </is>
      </c>
      <c r="B22" s="6" t="n">
        <v>6000</v>
      </c>
      <c r="C22" s="6" t="n">
        <v>6000</v>
      </c>
      <c r="D22" s="6" t="n">
        <v>4500</v>
      </c>
      <c r="E22" s="6" t="n">
        <v>2500</v>
      </c>
      <c r="F22" s="6" t="n">
        <v>24000</v>
      </c>
    </row>
    <row r="23">
      <c r="A23" s="23" t="inlineStr">
        <is>
          <t>SECURITY TOOLING (SaaS)</t>
        </is>
      </c>
      <c r="B23" s="23" t="inlineStr"/>
      <c r="C23" s="23" t="inlineStr"/>
      <c r="D23" s="23" t="inlineStr"/>
      <c r="E23" s="23" t="inlineStr"/>
      <c r="F23" s="23" t="inlineStr"/>
    </row>
    <row r="24">
      <c r="A24" s="5" t="inlineStr">
        <is>
          <t xml:space="preserve">  Snyk / Doppler / MDM / EDR</t>
        </is>
      </c>
      <c r="B24" s="6" t="n">
        <v>30</v>
      </c>
      <c r="C24" s="6" t="n">
        <v>60</v>
      </c>
      <c r="D24" s="6" t="n">
        <v>120</v>
      </c>
      <c r="E24" s="6" t="n">
        <v>300</v>
      </c>
      <c r="F24" s="6" t="n">
        <v>1110</v>
      </c>
    </row>
    <row r="25">
      <c r="A25" s="5" t="inlineStr">
        <is>
          <t xml:space="preserve">  Sentry + Datadog / monitoring</t>
        </is>
      </c>
      <c r="B25" s="6" t="n">
        <v>0</v>
      </c>
      <c r="C25" s="6" t="n">
        <v>50</v>
      </c>
      <c r="D25" s="6" t="n">
        <v>120</v>
      </c>
      <c r="E25" s="6" t="n">
        <v>220</v>
      </c>
      <c r="F25" s="6" t="n">
        <v>830</v>
      </c>
    </row>
    <row r="26">
      <c r="A26" s="23" t="inlineStr">
        <is>
          <t>OUTSOURCE / FRACTIONAL</t>
        </is>
      </c>
      <c r="B26" s="23" t="inlineStr"/>
      <c r="C26" s="23" t="inlineStr"/>
      <c r="D26" s="23" t="inlineStr"/>
      <c r="E26" s="23" t="inlineStr"/>
      <c r="F26" s="23" t="inlineStr"/>
    </row>
    <row r="27">
      <c r="A27" s="5" t="inlineStr">
        <is>
          <t xml:space="preserve">  Emergent contract dev</t>
        </is>
      </c>
      <c r="B27" s="6" t="n">
        <v>6000</v>
      </c>
      <c r="C27" s="6" t="n">
        <v>6000</v>
      </c>
      <c r="D27" s="6" t="n">
        <v>4500</v>
      </c>
      <c r="E27" s="6" t="n">
        <v>1500</v>
      </c>
      <c r="F27" s="6" t="n">
        <v>21000</v>
      </c>
    </row>
    <row r="28">
      <c r="A28" s="5" t="inlineStr">
        <is>
          <t xml:space="preserve">  Fractional QA engineer</t>
        </is>
      </c>
      <c r="B28" s="6" t="n">
        <v>0</v>
      </c>
      <c r="C28" s="6" t="n">
        <v>0</v>
      </c>
      <c r="D28" s="6" t="n">
        <v>1500</v>
      </c>
      <c r="E28" s="6" t="n">
        <v>1500</v>
      </c>
      <c r="F28" s="6" t="n">
        <v>6000</v>
      </c>
    </row>
    <row r="29">
      <c r="A29" s="23" t="inlineStr">
        <is>
          <t>FTE HIRES</t>
        </is>
      </c>
      <c r="B29" s="23" t="inlineStr"/>
      <c r="C29" s="23" t="inlineStr"/>
      <c r="D29" s="23" t="inlineStr"/>
      <c r="E29" s="23" t="inlineStr"/>
      <c r="F29" s="23" t="inlineStr"/>
    </row>
    <row r="30">
      <c r="A30" s="5" t="inlineStr">
        <is>
          <t xml:space="preserve">  (none triggered in first 180 days)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</row>
    <row r="31">
      <c r="A31" s="14" t="inlineStr">
        <is>
          <t>TOTAL COST / MONTH</t>
        </is>
      </c>
      <c r="B31" s="15">
        <f>SUM(B14:B30)</f>
        <v/>
      </c>
      <c r="C31" s="15">
        <f>SUM(C14:C30)</f>
        <v/>
      </c>
      <c r="D31" s="15">
        <f>SUM(D14:D30)</f>
        <v/>
      </c>
      <c r="E31" s="15">
        <f>SUM(E14:E30)</f>
        <v/>
      </c>
      <c r="F31" s="15">
        <f>SUM(F14:F30)</f>
        <v/>
      </c>
    </row>
    <row r="33">
      <c r="A33" s="3" t="inlineStr">
        <is>
          <t>REVENUE</t>
        </is>
      </c>
    </row>
    <row r="34">
      <c r="A34" s="5" t="inlineStr">
        <is>
          <t>Paid users (end of period)</t>
        </is>
      </c>
      <c r="B34" s="24" t="n">
        <v>0</v>
      </c>
      <c r="C34" s="24" t="n">
        <v>10</v>
      </c>
      <c r="D34" s="24" t="n">
        <v>40</v>
      </c>
      <c r="E34" s="24" t="n">
        <v>100</v>
      </c>
      <c r="F34" s="5" t="inlineStr"/>
    </row>
    <row r="35">
      <c r="A35" s="25" t="inlineStr">
        <is>
          <t>Avg paid users in period</t>
        </is>
      </c>
      <c r="B35" s="26" t="n">
        <v>0</v>
      </c>
      <c r="C35" s="26" t="n">
        <v>5</v>
      </c>
      <c r="D35" s="26" t="n">
        <v>25</v>
      </c>
      <c r="E35" s="26" t="n">
        <v>70</v>
      </c>
      <c r="F35" s="25" t="inlineStr"/>
    </row>
    <row r="36">
      <c r="A36" s="27" t="inlineStr">
        <is>
          <t>MRR (avg users × $70.60)</t>
        </is>
      </c>
      <c r="B36" s="28" t="n">
        <v>0</v>
      </c>
      <c r="C36" s="28" t="n">
        <v>353.0000000000001</v>
      </c>
      <c r="D36" s="28" t="n">
        <v>1765</v>
      </c>
      <c r="E36" s="28" t="n">
        <v>4942.000000000001</v>
      </c>
      <c r="F36" s="28">
        <f>B36+C36+D36+3*E36</f>
        <v/>
      </c>
    </row>
    <row r="38">
      <c r="A38" s="16" t="inlineStr">
        <is>
          <t>NET BURN (cost − revenue) /mo</t>
        </is>
      </c>
      <c r="B38" s="17">
        <f>B31-B36</f>
        <v/>
      </c>
      <c r="C38" s="17">
        <f>C31-C36</f>
        <v/>
      </c>
      <c r="D38" s="17">
        <f>D31-D36</f>
        <v/>
      </c>
      <c r="E38" s="17">
        <f>E31-E36</f>
        <v/>
      </c>
      <c r="F38" s="17">
        <f>F31-F36</f>
        <v/>
      </c>
    </row>
    <row r="39">
      <c r="A39" s="14" t="inlineStr">
        <is>
          <t>CUMULATIVE NET BURN (end of period)</t>
        </is>
      </c>
      <c r="B39" s="15">
        <f>B38</f>
        <v/>
      </c>
      <c r="C39" s="15">
        <f>B39+C38</f>
        <v/>
      </c>
      <c r="D39" s="15">
        <f>C39+D38</f>
        <v/>
      </c>
      <c r="E39" s="15">
        <f>D39+3*E38</f>
        <v/>
      </c>
      <c r="F39" s="15">
        <f>E39</f>
        <v/>
      </c>
    </row>
    <row r="41">
      <c r="A41" s="29" t="inlineStr">
        <is>
          <t>CASH REQUIRED TO SURVIVE 180 DAYS</t>
        </is>
      </c>
      <c r="B41" s="30">
        <f>F39</f>
        <v/>
      </c>
    </row>
    <row r="43">
      <c r="A43" s="3" t="inlineStr">
        <is>
          <t>WHAT-IF LEVERS (edit assumptions)</t>
        </is>
      </c>
    </row>
    <row r="44">
      <c r="A44" s="4" t="inlineStr">
        <is>
          <t>Lever</t>
        </is>
      </c>
      <c r="B44" s="4" t="inlineStr">
        <is>
          <t>Impact on 180-day cash need</t>
        </is>
      </c>
      <c r="C44" s="4" t="inlineStr">
        <is>
          <t>Effort</t>
        </is>
      </c>
      <c r="D44" s="4" t="inlineStr"/>
      <c r="E44" s="4" t="inlineStr"/>
      <c r="F44" s="4" t="inlineStr"/>
    </row>
    <row r="45">
      <c r="A45" s="5" t="inlineStr">
        <is>
          <t>Skip fractional QA until month 5</t>
        </is>
      </c>
      <c r="B45" s="5" t="inlineStr">
        <is>
          <t>−$3,000</t>
        </is>
      </c>
      <c r="C45" s="5" t="inlineStr">
        <is>
          <t>None</t>
        </is>
      </c>
      <c r="D45" s="5" t="inlineStr"/>
      <c r="E45" s="5" t="inlineStr"/>
      <c r="F45" s="5" t="inlineStr"/>
    </row>
    <row r="46">
      <c r="A46" s="5" t="inlineStr">
        <is>
          <t>Cut Emergent contract dev to $3k/mo from day 1</t>
        </is>
      </c>
      <c r="B46" s="5" t="inlineStr">
        <is>
          <t>−$18,000</t>
        </is>
      </c>
      <c r="C46" s="5" t="inlineStr">
        <is>
          <t>Slows velocity ~40%</t>
        </is>
      </c>
      <c r="D46" s="5" t="inlineStr"/>
      <c r="E46" s="5" t="inlineStr"/>
      <c r="F46" s="5" t="inlineStr"/>
    </row>
    <row r="47">
      <c r="A47" s="5" t="inlineStr">
        <is>
          <t>Delay UK launch by 30 days (revenue starts month 4)</t>
        </is>
      </c>
      <c r="B47" s="5" t="inlineStr">
        <is>
          <t>+$1,800</t>
        </is>
      </c>
      <c r="C47" s="5" t="inlineStr">
        <is>
          <t>Loses UK market timing</t>
        </is>
      </c>
      <c r="D47" s="5" t="inlineStr"/>
      <c r="E47" s="5" t="inlineStr"/>
      <c r="F47" s="5" t="inlineStr"/>
    </row>
    <row r="48">
      <c r="A48" s="5" t="inlineStr">
        <is>
          <t>Pause LLM heavy-build &amp; use $500/mo baseline</t>
        </is>
      </c>
      <c r="B48" s="5" t="inlineStr">
        <is>
          <t>−$25,500</t>
        </is>
      </c>
      <c r="C48" s="5" t="inlineStr">
        <is>
          <t>You stop shipping AI features</t>
        </is>
      </c>
      <c r="D48" s="5" t="inlineStr"/>
      <c r="E48" s="5" t="inlineStr"/>
      <c r="F48" s="5" t="inlineStr"/>
    </row>
    <row r="49">
      <c r="A49" s="5" t="inlineStr">
        <is>
          <t>Hit 200 paying users by day 180 instead of 100</t>
        </is>
      </c>
      <c r="B49" s="5" t="inlineStr">
        <is>
          <t>−$12,700</t>
        </is>
      </c>
      <c r="C49" s="5" t="inlineStr">
        <is>
          <t>Requires 2× conversion rate</t>
        </is>
      </c>
      <c r="D49" s="5" t="inlineStr"/>
      <c r="E49" s="5" t="inlineStr"/>
      <c r="F49" s="5" t="inlineStr"/>
    </row>
    <row r="50">
      <c r="A50" s="5" t="inlineStr">
        <is>
          <t>Emergent Studio prepay ($25k) covers LLM 4-5 months</t>
        </is>
      </c>
      <c r="B50" s="5" t="inlineStr">
        <is>
          <t>−$0 (cash-neutral swap)</t>
        </is>
      </c>
      <c r="C50" s="5" t="inlineStr">
        <is>
          <t>Just changes timing</t>
        </is>
      </c>
      <c r="D50" s="5" t="inlineStr"/>
      <c r="E50" s="5" t="inlineStr"/>
      <c r="F50" s="5" t="inlineStr"/>
    </row>
  </sheetData>
  <mergeCells count="6">
    <mergeCell ref="A2:F2"/>
    <mergeCell ref="A33:F33"/>
    <mergeCell ref="A1:F1"/>
    <mergeCell ref="A12:F12"/>
    <mergeCell ref="A4:F4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6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Tech Outsource — Engineering, DevOps, Security, QA</t>
        </is>
      </c>
    </row>
    <row r="2">
      <c r="A2" s="2" t="inlineStr">
        <is>
          <t>Contract-only view. Every role here is a function the 2-founder + Emergent stack cannot cover reliably. Zero GTM / HR / legal — pure tech execution.</t>
        </is>
      </c>
    </row>
    <row r="4">
      <c r="A4" s="3" t="inlineStr">
        <is>
          <t>A. What the 2-founder + Emergent stack covers today</t>
        </is>
      </c>
    </row>
    <row r="5">
      <c r="A5" s="4" t="inlineStr">
        <is>
          <t>Function</t>
        </is>
      </c>
      <c r="B5" s="4" t="inlineStr">
        <is>
          <t>Owner today</t>
        </is>
      </c>
      <c r="C5" s="4" t="inlineStr">
        <is>
          <t>Coverage</t>
        </is>
      </c>
      <c r="D5" s="4" t="inlineStr">
        <is>
          <t>Risk if we stay solo</t>
        </is>
      </c>
      <c r="E5" s="4" t="inlineStr">
        <is>
          <t>Backup plan</t>
        </is>
      </c>
      <c r="F5" s="4" t="inlineStr">
        <is>
          <t>Confidence</t>
        </is>
      </c>
    </row>
    <row r="6">
      <c r="A6" s="5" t="inlineStr">
        <is>
          <t>Backend + API (FastAPI + Mongo)</t>
        </is>
      </c>
      <c r="B6" s="5" t="inlineStr">
        <is>
          <t>You + Emergent</t>
        </is>
      </c>
      <c r="C6" s="5" t="inlineStr">
        <is>
          <t>Full feature build, hot-reload dev loop</t>
        </is>
      </c>
      <c r="D6" s="5" t="inlineStr">
        <is>
          <t>Bus factor of 1; velocity ceiling</t>
        </is>
      </c>
      <c r="E6" s="5" t="inlineStr">
        <is>
          <t>Emergent contract dev on retainer</t>
        </is>
      </c>
      <c r="F6" s="5" t="inlineStr">
        <is>
          <t>High</t>
        </is>
      </c>
    </row>
    <row r="7">
      <c r="A7" s="5" t="inlineStr">
        <is>
          <t>Frontend (React + Tailwind)</t>
        </is>
      </c>
      <c r="B7" s="5" t="inlineStr">
        <is>
          <t>You + Emergent</t>
        </is>
      </c>
      <c r="C7" s="5" t="inlineStr">
        <is>
          <t>Feature UI + shadcn components</t>
        </is>
      </c>
      <c r="D7" s="5" t="inlineStr">
        <is>
          <t>UI polish + a11y behind roadmap</t>
        </is>
      </c>
      <c r="E7" s="5" t="inlineStr">
        <is>
          <t>Fractional frontend contractor at $25k MRR</t>
        </is>
      </c>
      <c r="F7" s="5" t="inlineStr">
        <is>
          <t>High</t>
        </is>
      </c>
    </row>
    <row r="8">
      <c r="A8" s="5" t="inlineStr">
        <is>
          <t>AI features (categorisation, chat)</t>
        </is>
      </c>
      <c r="B8" s="5" t="inlineStr">
        <is>
          <t>You + Emergent</t>
        </is>
      </c>
      <c r="C8" s="5" t="inlineStr">
        <is>
          <t>GPT / Claude / Gemini via Emergent Universal Key</t>
        </is>
      </c>
      <c r="D8" s="5" t="inlineStr">
        <is>
          <t>AI ops cost drift; prompt regressions</t>
        </is>
      </c>
      <c r="E8" s="5" t="inlineStr">
        <is>
          <t>Fractional ML/AI contractor at 1,500 users</t>
        </is>
      </c>
      <c r="F8" s="5" t="inlineStr">
        <is>
          <t>High</t>
        </is>
      </c>
    </row>
    <row r="9">
      <c r="A9" s="5" t="inlineStr">
        <is>
          <t>Basic DevOps (Railway + Atlas)</t>
        </is>
      </c>
      <c r="B9" s="5" t="inlineStr">
        <is>
          <t>You + Emergent</t>
        </is>
      </c>
      <c r="C9" s="5" t="inlineStr">
        <is>
          <t>Deploy, supervisor, log tail</t>
        </is>
      </c>
      <c r="D9" s="5" t="inlineStr">
        <is>
          <t>On-call fatigue at 3am</t>
        </is>
      </c>
      <c r="E9" s="5" t="inlineStr">
        <is>
          <t>Fractional platform engineer at 1,000 users</t>
        </is>
      </c>
      <c r="F9" s="5" t="inlineStr">
        <is>
          <t>Medium</t>
        </is>
      </c>
    </row>
    <row r="10">
      <c r="A10" s="5" t="inlineStr">
        <is>
          <t>Smoke + unit testing</t>
        </is>
      </c>
      <c r="B10" s="5" t="inlineStr">
        <is>
          <t>You + testing subagent</t>
        </is>
      </c>
      <c r="C10" s="5" t="inlineStr">
        <is>
          <t>pytest + testing agent + curl</t>
        </is>
      </c>
      <c r="D10" s="5" t="inlineStr">
        <is>
          <t>Coverage gaps around edge cases</t>
        </is>
      </c>
      <c r="E10" s="5" t="inlineStr">
        <is>
          <t>Contract QA engineer at 750 users</t>
        </is>
      </c>
      <c r="F10" s="5" t="inlineStr">
        <is>
          <t>Medium</t>
        </is>
      </c>
    </row>
    <row r="11">
      <c r="A11" s="5" t="inlineStr">
        <is>
          <t>Product design (functional)</t>
        </is>
      </c>
      <c r="B11" s="5" t="inlineStr">
        <is>
          <t>You</t>
        </is>
      </c>
      <c r="C11" s="5" t="inlineStr">
        <is>
          <t>Layouts, flows, shadcn defaults</t>
        </is>
      </c>
      <c r="D11" s="5" t="inlineStr">
        <is>
          <t>Brand + marketing site inconsistency</t>
        </is>
      </c>
      <c r="E11" s="5" t="inlineStr">
        <is>
          <t>Fractional designer once marketing site starts</t>
        </is>
      </c>
      <c r="F11" s="5" t="inlineStr">
        <is>
          <t>Medium</t>
        </is>
      </c>
    </row>
    <row r="14">
      <c r="A14" s="3" t="inlineStr">
        <is>
          <t>B. Tech functions to OUTSOURCE (fractional / contract)</t>
        </is>
      </c>
    </row>
    <row r="15">
      <c r="A15" s="4" t="inlineStr">
        <is>
          <t>Function</t>
        </is>
      </c>
      <c r="B15" s="4" t="inlineStr">
        <is>
          <t>Provider type</t>
        </is>
      </c>
      <c r="C15" s="4" t="inlineStr">
        <is>
          <t>Why outsource</t>
        </is>
      </c>
      <c r="D15" s="4" t="inlineStr">
        <is>
          <t>Cost range ($/mo)</t>
        </is>
      </c>
      <c r="E15" s="4" t="inlineStr">
        <is>
          <t>When to start</t>
        </is>
      </c>
      <c r="F15" s="4" t="inlineStr">
        <is>
          <t>Full-time trigger</t>
        </is>
      </c>
    </row>
    <row r="16">
      <c r="A16" s="5" t="inlineStr">
        <is>
          <t>Senior Full-Stack Dev (surge)</t>
        </is>
      </c>
      <c r="B16" s="5" t="inlineStr">
        <is>
          <t>Emergent contract dev (current)</t>
        </is>
      </c>
      <c r="C16" s="5" t="inlineStr">
        <is>
          <t>Extra hands during heavy build without full-time commit</t>
        </is>
      </c>
      <c r="D16" s="5" t="inlineStr">
        <is>
          <t>$3,000–$8,000</t>
        </is>
      </c>
      <c r="E16" s="5" t="inlineStr">
        <is>
          <t>In use today</t>
        </is>
      </c>
      <c r="F16" s="5" t="inlineStr">
        <is>
          <t>Full-time SWE at $25k MRR</t>
        </is>
      </c>
    </row>
    <row r="17">
      <c r="A17" s="5" t="inlineStr">
        <is>
          <t>Fractional Platform / DevOps</t>
        </is>
      </c>
      <c r="B17" s="5" t="inlineStr">
        <is>
          <t>Individual consultant or Cloudops firm</t>
        </is>
      </c>
      <c r="C17" s="5" t="inlineStr">
        <is>
          <t>SRE, IaC, on-call rotation, cost tuning on Railway/Atlas</t>
        </is>
      </c>
      <c r="D17" s="5" t="inlineStr">
        <is>
          <t>$2,500–$5,000</t>
        </is>
      </c>
      <c r="E17" s="5" t="inlineStr">
        <is>
          <t>1,000 users OR SOC 2 kickoff</t>
        </is>
      </c>
      <c r="F17" s="5" t="inlineStr">
        <is>
          <t>Full-time Platform Eng at 2,000 users</t>
        </is>
      </c>
    </row>
    <row r="18">
      <c r="A18" s="5" t="inlineStr">
        <is>
          <t>Fractional Security Engineer</t>
        </is>
      </c>
      <c r="B18" s="5" t="inlineStr">
        <is>
          <t>Individual (ex-Big-Tech security)</t>
        </is>
      </c>
      <c r="C18" s="5" t="inlineStr">
        <is>
          <t>Threat model, IAM review, SIEM tuning, IR playbooks</t>
        </is>
      </c>
      <c r="D18" s="5" t="inlineStr">
        <is>
          <t>$3,000–$6,000</t>
        </is>
      </c>
      <c r="E18" s="5" t="inlineStr">
        <is>
          <t>1,000 users OR pen-test prep</t>
        </is>
      </c>
      <c r="F18" s="5" t="inlineStr">
        <is>
          <t>Full-time Security Eng at 5,000 users</t>
        </is>
      </c>
    </row>
    <row r="19">
      <c r="A19" s="5" t="inlineStr">
        <is>
          <t>Penetration Test (annual)</t>
        </is>
      </c>
      <c r="B19" s="5" t="inlineStr">
        <is>
          <t>Boutique firm (Bishop Fox, Cure53, Doyensec)</t>
        </is>
      </c>
      <c r="C19" s="5" t="inlineStr">
        <is>
          <t>External attestation required for SOC 2 + enterprise deals</t>
        </is>
      </c>
      <c r="D19" s="5" t="inlineStr">
        <is>
          <t>$500–$1,000 (amortised)</t>
        </is>
      </c>
      <c r="E19" s="5" t="inlineStr">
        <is>
          <t>1,500 users</t>
        </is>
      </c>
      <c r="F19" s="5" t="inlineStr">
        <is>
          <t>Never — always outsource</t>
        </is>
      </c>
    </row>
    <row r="20">
      <c r="A20" s="5" t="inlineStr">
        <is>
          <t>Vulnerability scanning (SaaS)</t>
        </is>
      </c>
      <c r="B20" s="5" t="inlineStr">
        <is>
          <t>Snyk / Semgrep / GH Advanced Security</t>
        </is>
      </c>
      <c r="C20" s="5" t="inlineStr">
        <is>
          <t>Continuous SAST + dependency + secret scanning</t>
        </is>
      </c>
      <c r="D20" s="5" t="inlineStr">
        <is>
          <t>$100–$400</t>
        </is>
      </c>
      <c r="E20" s="5" t="inlineStr">
        <is>
          <t>Day 1</t>
        </is>
      </c>
      <c r="F20" s="5" t="inlineStr">
        <is>
          <t>Never — always SaaS</t>
        </is>
      </c>
    </row>
    <row r="21">
      <c r="A21" s="5" t="inlineStr">
        <is>
          <t>Fractional QA Engineer</t>
        </is>
      </c>
      <c r="B21" s="5" t="inlineStr">
        <is>
          <t>Contractor via Toptal / Braintrust</t>
        </is>
      </c>
      <c r="C21" s="5" t="inlineStr">
        <is>
          <t>End-to-end Playwright coverage, regression suites</t>
        </is>
      </c>
      <c r="D21" s="5" t="inlineStr">
        <is>
          <t>$1,500–$3,500</t>
        </is>
      </c>
      <c r="E21" s="5" t="inlineStr">
        <is>
          <t>750 users</t>
        </is>
      </c>
      <c r="F21" s="5" t="inlineStr">
        <is>
          <t>Full-time QA Lead at 3,000 users</t>
        </is>
      </c>
    </row>
    <row r="22">
      <c r="A22" s="5" t="inlineStr">
        <is>
          <t>Fractional Data / Analytics Eng</t>
        </is>
      </c>
      <c r="B22" s="5" t="inlineStr">
        <is>
          <t>Contractor</t>
        </is>
      </c>
      <c r="C22" s="5" t="inlineStr">
        <is>
          <t>Feature analytics, dashboards, ML on categorisation</t>
        </is>
      </c>
      <c r="D22" s="5" t="inlineStr">
        <is>
          <t>$2,000–$4,000</t>
        </is>
      </c>
      <c r="E22" s="5" t="inlineStr">
        <is>
          <t>1,500 users</t>
        </is>
      </c>
      <c r="F22" s="5" t="inlineStr">
        <is>
          <t>Full-time Data Eng at 3,000 users</t>
        </is>
      </c>
    </row>
    <row r="23">
      <c r="A23" s="5" t="inlineStr">
        <is>
          <t>Fractional UX / Product Designer</t>
        </is>
      </c>
      <c r="B23" s="5" t="inlineStr">
        <is>
          <t>Studio or individual</t>
        </is>
      </c>
      <c r="C23" s="5" t="inlineStr">
        <is>
          <t>Design system, marketing site, brand consistency</t>
        </is>
      </c>
      <c r="D23" s="5" t="inlineStr">
        <is>
          <t>$1,500–$4,000</t>
        </is>
      </c>
      <c r="E23" s="5" t="inlineStr">
        <is>
          <t>Pre-launch marketing site</t>
        </is>
      </c>
      <c r="F23" s="5" t="inlineStr">
        <is>
          <t>Full-time Designer at 2,000 users</t>
        </is>
      </c>
    </row>
    <row r="24">
      <c r="A24" s="5" t="inlineStr">
        <is>
          <t>Incident Response Retainer</t>
        </is>
      </c>
      <c r="B24" s="5" t="inlineStr">
        <is>
          <t>Kroll / Mandiant / Arete</t>
        </is>
      </c>
      <c r="C24" s="5" t="inlineStr">
        <is>
          <t>Pre-paid response hours if a breach occurs</t>
        </is>
      </c>
      <c r="D24" s="5" t="inlineStr">
        <is>
          <t>$400–$800</t>
        </is>
      </c>
      <c r="E24" s="5" t="inlineStr">
        <is>
          <t>1,500 users</t>
        </is>
      </c>
      <c r="F24" s="5" t="inlineStr">
        <is>
          <t>Never — always retainer</t>
        </is>
      </c>
    </row>
    <row r="25">
      <c r="A25" s="5" t="inlineStr">
        <is>
          <t>Bug Bounty Program</t>
        </is>
      </c>
      <c r="B25" s="5" t="inlineStr">
        <is>
          <t>HackerOne / Intigriti</t>
        </is>
      </c>
      <c r="C25" s="5" t="inlineStr">
        <is>
          <t>Crowd-sourced security testing; SOC 2 evidence</t>
        </is>
      </c>
      <c r="D25" s="5" t="inlineStr">
        <is>
          <t>$500–$1,500 platform + bounty pool</t>
        </is>
      </c>
      <c r="E25" s="5" t="inlineStr">
        <is>
          <t>1,500 users</t>
        </is>
      </c>
      <c r="F25" s="5" t="inlineStr">
        <is>
          <t>Never — always outsource</t>
        </is>
      </c>
    </row>
    <row r="26">
      <c r="A26" s="5" t="inlineStr">
        <is>
          <t>Localisation / i18n</t>
        </is>
      </c>
      <c r="B26" s="5" t="inlineStr">
        <is>
          <t>Fractional contractor or Lokalise SaaS</t>
        </is>
      </c>
      <c r="C26" s="5" t="inlineStr">
        <is>
          <t>UK + EU + APAC translation, currency, date/tax rules</t>
        </is>
      </c>
      <c r="D26" s="5" t="inlineStr">
        <is>
          <t>$500–$2,000</t>
        </is>
      </c>
      <c r="E26" s="5" t="inlineStr">
        <is>
          <t>Per new region launch</t>
        </is>
      </c>
      <c r="F26" s="5" t="inlineStr">
        <is>
          <t>Full-time when 3+ regions live</t>
        </is>
      </c>
    </row>
    <row r="29">
      <c r="A29" s="3" t="inlineStr">
        <is>
          <t>C. Full-time tech hires (order + trigger)</t>
        </is>
      </c>
    </row>
    <row r="30">
      <c r="A30" s="4" t="inlineStr">
        <is>
          <t>Role</t>
        </is>
      </c>
      <c r="B30" s="4" t="inlineStr">
        <is>
          <t>Order</t>
        </is>
      </c>
      <c r="C30" s="4" t="inlineStr">
        <is>
          <t>Loaded cost ($k/yr)</t>
        </is>
      </c>
      <c r="D30" s="4" t="inlineStr">
        <is>
          <t>Trigger</t>
        </is>
      </c>
      <c r="E30" s="4" t="inlineStr">
        <is>
          <t>Why this specific hire</t>
        </is>
      </c>
      <c r="F30" s="4" t="inlineStr">
        <is>
          <t>Keep fractional?</t>
        </is>
      </c>
    </row>
    <row r="31">
      <c r="A31" s="5" t="inlineStr">
        <is>
          <t>Senior Full-Stack Eng #1</t>
        </is>
      </c>
      <c r="B31" s="5" t="inlineStr">
        <is>
          <t>1st</t>
        </is>
      </c>
      <c r="C31" s="6" t="n">
        <v>195</v>
      </c>
      <c r="D31" s="5" t="inlineStr">
        <is>
          <t>$25k MRR OR UK launch</t>
        </is>
      </c>
      <c r="E31" s="5" t="inlineStr">
        <is>
          <t>Second permanent code owner — kills bus factor</t>
        </is>
      </c>
      <c r="F31" s="5" t="inlineStr">
        <is>
          <t>No — need FTE</t>
        </is>
      </c>
    </row>
    <row r="32">
      <c r="A32" s="5" t="inlineStr">
        <is>
          <t>Platform / DevOps Eng</t>
        </is>
      </c>
      <c r="B32" s="5" t="inlineStr">
        <is>
          <t>2nd</t>
        </is>
      </c>
      <c r="C32" s="6" t="n">
        <v>210</v>
      </c>
      <c r="D32" s="5" t="inlineStr">
        <is>
          <t>2,000 users OR SOC 2 Type II</t>
        </is>
      </c>
      <c r="E32" s="5" t="inlineStr">
        <is>
          <t>SRE, IaC, incident response ownership</t>
        </is>
      </c>
      <c r="F32" s="5" t="inlineStr">
        <is>
          <t>Fractional until 1,500 users</t>
        </is>
      </c>
    </row>
    <row r="33">
      <c r="A33" s="5" t="inlineStr">
        <is>
          <t>Senior Full-Stack Eng #2</t>
        </is>
      </c>
      <c r="B33" s="5" t="inlineStr">
        <is>
          <t>3rd</t>
        </is>
      </c>
      <c r="C33" s="6" t="n">
        <v>195</v>
      </c>
      <c r="D33" s="5" t="inlineStr">
        <is>
          <t>3,000 users OR $60k MRR</t>
        </is>
      </c>
      <c r="E33" s="5" t="inlineStr">
        <is>
          <t>Split frontend / backend ownership + on-call rotation</t>
        </is>
      </c>
      <c r="F33" s="5" t="inlineStr">
        <is>
          <t>No — need FTE</t>
        </is>
      </c>
    </row>
    <row r="34">
      <c r="A34" s="5" t="inlineStr">
        <is>
          <t>Security Engineer</t>
        </is>
      </c>
      <c r="B34" s="5" t="inlineStr">
        <is>
          <t>4th</t>
        </is>
      </c>
      <c r="C34" s="6" t="n">
        <v>220</v>
      </c>
      <c r="D34" s="5" t="inlineStr">
        <is>
          <t>SOC 2 Type II + first enterprise deal</t>
        </is>
      </c>
      <c r="E34" s="5" t="inlineStr">
        <is>
          <t>In-house threat model, IR ownership, SSO reviews</t>
        </is>
      </c>
      <c r="F34" s="5" t="inlineStr">
        <is>
          <t>Fractional to 5,000 users</t>
        </is>
      </c>
    </row>
    <row r="35">
      <c r="A35" s="5" t="inlineStr">
        <is>
          <t>QA / Test Automation Lead</t>
        </is>
      </c>
      <c r="B35" s="5" t="inlineStr">
        <is>
          <t>5th</t>
        </is>
      </c>
      <c r="C35" s="6" t="n">
        <v>165</v>
      </c>
      <c r="D35" s="5" t="inlineStr">
        <is>
          <t>3,000 users</t>
        </is>
      </c>
      <c r="E35" s="5" t="inlineStr">
        <is>
          <t>Playwright + performance + regression suites</t>
        </is>
      </c>
      <c r="F35" s="5" t="inlineStr">
        <is>
          <t>Fractional to 3,000 users</t>
        </is>
      </c>
    </row>
    <row r="36">
      <c r="A36" s="5" t="inlineStr">
        <is>
          <t>Data / Analytics Eng</t>
        </is>
      </c>
      <c r="B36" s="5" t="inlineStr">
        <is>
          <t>6th</t>
        </is>
      </c>
      <c r="C36" s="6" t="n">
        <v>190</v>
      </c>
      <c r="D36" s="5" t="inlineStr">
        <is>
          <t>3,000 users</t>
        </is>
      </c>
      <c r="E36" s="5" t="inlineStr">
        <is>
          <t>Categorisation ML, cohort analytics, churn model</t>
        </is>
      </c>
      <c r="F36" s="5" t="inlineStr">
        <is>
          <t>Contract data analyst can bridge</t>
        </is>
      </c>
    </row>
    <row r="37">
      <c r="A37" s="5" t="inlineStr">
        <is>
          <t>Product Designer</t>
        </is>
      </c>
      <c r="B37" s="5" t="inlineStr">
        <is>
          <t>7th</t>
        </is>
      </c>
      <c r="C37" s="6" t="n">
        <v>170</v>
      </c>
      <c r="D37" s="5" t="inlineStr">
        <is>
          <t>3,000 users</t>
        </is>
      </c>
      <c r="E37" s="5" t="inlineStr">
        <is>
          <t>Full design system + marketing site ownership</t>
        </is>
      </c>
      <c r="F37" s="5" t="inlineStr">
        <is>
          <t>Fractional works longer than most think</t>
        </is>
      </c>
    </row>
    <row r="40">
      <c r="A40" s="3" t="inlineStr">
        <is>
          <t>D. Rules of thumb (tech-only)</t>
        </is>
      </c>
    </row>
    <row r="41">
      <c r="A41" s="31" t="inlineStr">
        <is>
          <t>• 1 full-time engineer per ~$500k–$1M ARR in accounting SaaS (compliance overhead is real).</t>
        </is>
      </c>
    </row>
    <row r="42">
      <c r="A42" s="31" t="inlineStr">
        <is>
          <t>• Never hire a full-time platform eng before 1,000 users — fractional or Cloudops does it cheaper.</t>
        </is>
      </c>
    </row>
    <row r="43">
      <c r="A43" s="31" t="inlineStr">
        <is>
          <t>• Security engineer FTE only after first enterprise / SOC 2 Type II — before then, fractional + SaaS.</t>
        </is>
      </c>
    </row>
    <row r="44">
      <c r="A44" s="31" t="inlineStr">
        <is>
          <t>• Rule of thumb: every tech FTE = base × 1.30 loaded (US) or × 1.15 (UK/EU via Deel).</t>
        </is>
      </c>
    </row>
    <row r="45">
      <c r="A45" s="31" t="inlineStr">
        <is>
          <t>• Prefer 1 senior remote FTE over 2 mid-level unless you already have a team lead.</t>
        </is>
      </c>
    </row>
    <row r="46">
      <c r="A46" s="31" t="inlineStr">
        <is>
          <t>• Emergent contract dev is functionally the cheapest fractional SWE on the market — use it until $25k MRR.</t>
        </is>
      </c>
    </row>
  </sheetData>
  <mergeCells count="12">
    <mergeCell ref="A41:F41"/>
    <mergeCell ref="A2:F2"/>
    <mergeCell ref="A42:F42"/>
    <mergeCell ref="A46:F46"/>
    <mergeCell ref="A14:F14"/>
    <mergeCell ref="A44:F44"/>
    <mergeCell ref="A1:F1"/>
    <mergeCell ref="A45:F45"/>
    <mergeCell ref="A40:F40"/>
    <mergeCell ref="A4:F4"/>
    <mergeCell ref="A29:F29"/>
    <mergeCell ref="A43:F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Line-Item Tech Costs by User Tier</t>
        </is>
      </c>
    </row>
    <row r="2">
      <c r="A2" s="2" t="inlineStr">
        <is>
          <t>Fully-loaded tech spend across 500 / 1,500 / 3,000 users. Excludes salaries.</t>
        </is>
      </c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500 low</t>
        </is>
      </c>
      <c r="D4" s="4" t="inlineStr">
        <is>
          <t>500 high</t>
        </is>
      </c>
      <c r="E4" s="4" t="inlineStr">
        <is>
          <t>1,500 low</t>
        </is>
      </c>
      <c r="F4" s="4" t="inlineStr">
        <is>
          <t>1,500 high</t>
        </is>
      </c>
      <c r="G4" s="4" t="inlineStr">
        <is>
          <t>3,000 low</t>
        </is>
      </c>
      <c r="H4" s="4" t="inlineStr">
        <is>
          <t>3,000 high</t>
        </is>
      </c>
    </row>
    <row r="5">
      <c r="A5" s="5" t="inlineStr">
        <is>
          <t>Compute</t>
        </is>
      </c>
      <c r="B5" s="5" t="inlineStr">
        <is>
          <t>Backend (Railway/Fly, replicas)</t>
        </is>
      </c>
      <c r="C5" s="6" t="n">
        <v>150</v>
      </c>
      <c r="D5" s="6" t="n">
        <v>250</v>
      </c>
      <c r="E5" s="6" t="n">
        <v>400</v>
      </c>
      <c r="F5" s="6" t="n">
        <v>700</v>
      </c>
      <c r="G5" s="6" t="n">
        <v>900</v>
      </c>
      <c r="H5" s="6" t="n">
        <v>1500</v>
      </c>
    </row>
    <row r="6">
      <c r="A6" s="5" t="inlineStr">
        <is>
          <t>Compute</t>
        </is>
      </c>
      <c r="B6" s="5" t="inlineStr">
        <is>
          <t>Frontend hosting (Vercel/Netlify)</t>
        </is>
      </c>
      <c r="C6" s="6" t="n">
        <v>20</v>
      </c>
      <c r="D6" s="6" t="n">
        <v>40</v>
      </c>
      <c r="E6" s="6" t="n">
        <v>60</v>
      </c>
      <c r="F6" s="6" t="n">
        <v>120</v>
      </c>
      <c r="G6" s="6" t="n">
        <v>150</v>
      </c>
      <c r="H6" s="6" t="n">
        <v>250</v>
      </c>
    </row>
    <row r="7">
      <c r="A7" s="5" t="inlineStr">
        <is>
          <t>Database</t>
        </is>
      </c>
      <c r="B7" s="5" t="inlineStr">
        <is>
          <t>MongoDB Atlas dedicated</t>
        </is>
      </c>
      <c r="C7" s="6" t="n">
        <v>180</v>
      </c>
      <c r="D7" s="6" t="n">
        <v>220</v>
      </c>
      <c r="E7" s="6" t="n">
        <v>450</v>
      </c>
      <c r="F7" s="6" t="n">
        <v>550</v>
      </c>
      <c r="G7" s="6" t="n">
        <v>900</v>
      </c>
      <c r="H7" s="6" t="n">
        <v>1300</v>
      </c>
    </row>
    <row r="8">
      <c r="A8" s="5" t="inlineStr">
        <is>
          <t>Database</t>
        </is>
      </c>
      <c r="B8" s="5" t="inlineStr">
        <is>
          <t>Redis Cloud</t>
        </is>
      </c>
      <c r="C8" s="6" t="n">
        <v>30</v>
      </c>
      <c r="D8" s="6" t="n">
        <v>50</v>
      </c>
      <c r="E8" s="6" t="n">
        <v>75</v>
      </c>
      <c r="F8" s="6" t="n">
        <v>120</v>
      </c>
      <c r="G8" s="6" t="n">
        <v>200</v>
      </c>
      <c r="H8" s="6" t="n">
        <v>350</v>
      </c>
    </row>
    <row r="9">
      <c r="A9" s="5" t="inlineStr">
        <is>
          <t>Database</t>
        </is>
      </c>
      <c r="B9" s="5" t="inlineStr">
        <is>
          <t>Automated backups + PITR</t>
        </is>
      </c>
      <c r="C9" s="6" t="n">
        <v>20</v>
      </c>
      <c r="D9" s="6" t="n">
        <v>40</v>
      </c>
      <c r="E9" s="6" t="n">
        <v>60</v>
      </c>
      <c r="F9" s="6" t="n">
        <v>100</v>
      </c>
      <c r="G9" s="6" t="n">
        <v>120</v>
      </c>
      <c r="H9" s="6" t="n">
        <v>200</v>
      </c>
    </row>
    <row r="10">
      <c r="A10" s="5" t="inlineStr">
        <is>
          <t>AI</t>
        </is>
      </c>
      <c r="B10" s="5" t="inlineStr">
        <is>
          <t>LLM inference</t>
        </is>
      </c>
      <c r="C10" s="6" t="n">
        <v>1000</v>
      </c>
      <c r="D10" s="6" t="n">
        <v>2000</v>
      </c>
      <c r="E10" s="6" t="n">
        <v>3000</v>
      </c>
      <c r="F10" s="6" t="n">
        <v>6000</v>
      </c>
      <c r="G10" s="6" t="n">
        <v>6000</v>
      </c>
      <c r="H10" s="6" t="n">
        <v>12000</v>
      </c>
    </row>
    <row r="11">
      <c r="A11" s="5" t="inlineStr">
        <is>
          <t>AI</t>
        </is>
      </c>
      <c r="B11" s="5" t="inlineStr">
        <is>
          <t>STT / voice (Whisper)</t>
        </is>
      </c>
      <c r="C11" s="6" t="n">
        <v>20</v>
      </c>
      <c r="D11" s="6" t="n">
        <v>60</v>
      </c>
      <c r="E11" s="6" t="n">
        <v>60</v>
      </c>
      <c r="F11" s="6" t="n">
        <v>200</v>
      </c>
      <c r="G11" s="6" t="n">
        <v>150</v>
      </c>
      <c r="H11" s="6" t="n">
        <v>500</v>
      </c>
    </row>
    <row r="12">
      <c r="A12" s="5" t="inlineStr">
        <is>
          <t>Integrations</t>
        </is>
      </c>
      <c r="B12" s="5" t="inlineStr">
        <is>
          <t>Plaid (production)</t>
        </is>
      </c>
      <c r="C12" s="6" t="n">
        <v>1065</v>
      </c>
      <c r="D12" s="6" t="n">
        <v>1200</v>
      </c>
      <c r="E12" s="6" t="n">
        <v>1200</v>
      </c>
      <c r="F12" s="6" t="n">
        <v>2100</v>
      </c>
      <c r="G12" s="6" t="n">
        <v>1800</v>
      </c>
      <c r="H12" s="6" t="n">
        <v>3000</v>
      </c>
    </row>
    <row r="13">
      <c r="A13" s="5" t="inlineStr">
        <is>
          <t>Integrations</t>
        </is>
      </c>
      <c r="B13" s="5" t="inlineStr">
        <is>
          <t>Veryfi OCR</t>
        </is>
      </c>
      <c r="C13" s="6" t="n">
        <v>500</v>
      </c>
      <c r="D13" s="6" t="n">
        <v>700</v>
      </c>
      <c r="E13" s="6" t="n">
        <v>800</v>
      </c>
      <c r="F13" s="6" t="n">
        <v>1500</v>
      </c>
      <c r="G13" s="6" t="n">
        <v>1500</v>
      </c>
      <c r="H13" s="6" t="n">
        <v>2500</v>
      </c>
    </row>
    <row r="14">
      <c r="A14" s="5" t="inlineStr">
        <is>
          <t>Email</t>
        </is>
      </c>
      <c r="B14" s="5" t="inlineStr">
        <is>
          <t>Resend transactional</t>
        </is>
      </c>
      <c r="C14" s="6" t="n">
        <v>20</v>
      </c>
      <c r="D14" s="6" t="n">
        <v>35</v>
      </c>
      <c r="E14" s="6" t="n">
        <v>50</v>
      </c>
      <c r="F14" s="6" t="n">
        <v>90</v>
      </c>
      <c r="G14" s="6" t="n">
        <v>150</v>
      </c>
      <c r="H14" s="6" t="n">
        <v>250</v>
      </c>
    </row>
    <row r="15">
      <c r="A15" s="5" t="inlineStr">
        <is>
          <t>Storage</t>
        </is>
      </c>
      <c r="B15" s="5" t="inlineStr">
        <is>
          <t>Object storage (S3/R2)</t>
        </is>
      </c>
      <c r="C15" s="6" t="n">
        <v>30</v>
      </c>
      <c r="D15" s="6" t="n">
        <v>60</v>
      </c>
      <c r="E15" s="6" t="n">
        <v>150</v>
      </c>
      <c r="F15" s="6" t="n">
        <v>300</v>
      </c>
      <c r="G15" s="6" t="n">
        <v>400</v>
      </c>
      <c r="H15" s="6" t="n">
        <v>700</v>
      </c>
    </row>
    <row r="16">
      <c r="A16" s="5" t="inlineStr">
        <is>
          <t>Storage</t>
        </is>
      </c>
      <c r="B16" s="5" t="inlineStr">
        <is>
          <t>CDN egress</t>
        </is>
      </c>
      <c r="C16" s="6" t="n">
        <v>10</v>
      </c>
      <c r="D16" s="6" t="n">
        <v>30</v>
      </c>
      <c r="E16" s="6" t="n">
        <v>40</v>
      </c>
      <c r="F16" s="6" t="n">
        <v>100</v>
      </c>
      <c r="G16" s="6" t="n">
        <v>100</v>
      </c>
      <c r="H16" s="6" t="n">
        <v>250</v>
      </c>
    </row>
    <row r="17">
      <c r="A17" s="5" t="inlineStr">
        <is>
          <t>Monitoring</t>
        </is>
      </c>
      <c r="B17" s="5" t="inlineStr">
        <is>
          <t>Sentry</t>
        </is>
      </c>
      <c r="C17" s="6" t="n">
        <v>30</v>
      </c>
      <c r="D17" s="6" t="n">
        <v>50</v>
      </c>
      <c r="E17" s="6" t="n">
        <v>80</v>
      </c>
      <c r="F17" s="6" t="n">
        <v>150</v>
      </c>
      <c r="G17" s="6" t="n">
        <v>150</v>
      </c>
      <c r="H17" s="6" t="n">
        <v>300</v>
      </c>
    </row>
    <row r="18">
      <c r="A18" s="5" t="inlineStr">
        <is>
          <t>Monitoring</t>
        </is>
      </c>
      <c r="B18" s="5" t="inlineStr">
        <is>
          <t>Datadog / Logtail</t>
        </is>
      </c>
      <c r="C18" s="6" t="n">
        <v>50</v>
      </c>
      <c r="D18" s="6" t="n">
        <v>70</v>
      </c>
      <c r="E18" s="6" t="n">
        <v>120</v>
      </c>
      <c r="F18" s="6" t="n">
        <v>250</v>
      </c>
      <c r="G18" s="6" t="n">
        <v>350</v>
      </c>
      <c r="H18" s="6" t="n">
        <v>600</v>
      </c>
    </row>
    <row r="19">
      <c r="A19" s="5" t="inlineStr">
        <is>
          <t>Security</t>
        </is>
      </c>
      <c r="B19" s="5" t="inlineStr">
        <is>
          <t>Vanta / Drata</t>
        </is>
      </c>
      <c r="C19" s="6" t="n">
        <v>0</v>
      </c>
      <c r="D19" s="6" t="n">
        <v>0</v>
      </c>
      <c r="E19" s="6" t="n">
        <v>0</v>
      </c>
      <c r="F19" s="6" t="n">
        <v>200</v>
      </c>
      <c r="G19" s="6" t="n">
        <v>500</v>
      </c>
      <c r="H19" s="6" t="n">
        <v>800</v>
      </c>
    </row>
    <row r="20">
      <c r="A20" s="5" t="inlineStr">
        <is>
          <t>Security</t>
        </is>
      </c>
      <c r="B20" s="5" t="inlineStr">
        <is>
          <t>Snyk / dep scanning</t>
        </is>
      </c>
      <c r="C20" s="6" t="n">
        <v>0</v>
      </c>
      <c r="D20" s="6" t="n">
        <v>30</v>
      </c>
      <c r="E20" s="6" t="n">
        <v>30</v>
      </c>
      <c r="F20" s="6" t="n">
        <v>60</v>
      </c>
      <c r="G20" s="6" t="n">
        <v>60</v>
      </c>
      <c r="H20" s="6" t="n">
        <v>120</v>
      </c>
    </row>
    <row r="21">
      <c r="A21" s="5" t="inlineStr">
        <is>
          <t>Security</t>
        </is>
      </c>
      <c r="B21" s="5" t="inlineStr">
        <is>
          <t>MDM + EDR</t>
        </is>
      </c>
      <c r="C21" s="6" t="n">
        <v>0</v>
      </c>
      <c r="D21" s="6" t="n">
        <v>40</v>
      </c>
      <c r="E21" s="6" t="n">
        <v>40</v>
      </c>
      <c r="F21" s="6" t="n">
        <v>160</v>
      </c>
      <c r="G21" s="6" t="n">
        <v>240</v>
      </c>
      <c r="H21" s="6" t="n">
        <v>480</v>
      </c>
    </row>
    <row r="22">
      <c r="A22" s="5" t="inlineStr">
        <is>
          <t>Ops</t>
        </is>
      </c>
      <c r="B22" s="5" t="inlineStr">
        <is>
          <t>Domain, DNS, Cloudflare</t>
        </is>
      </c>
      <c r="C22" s="6" t="n">
        <v>20</v>
      </c>
      <c r="D22" s="6" t="n">
        <v>40</v>
      </c>
      <c r="E22" s="6" t="n">
        <v>30</v>
      </c>
      <c r="F22" s="6" t="n">
        <v>60</v>
      </c>
      <c r="G22" s="6" t="n">
        <v>50</v>
      </c>
      <c r="H22" s="6" t="n">
        <v>100</v>
      </c>
    </row>
    <row r="23">
      <c r="A23" s="5" t="inlineStr">
        <is>
          <t>Ops</t>
        </is>
      </c>
      <c r="B23" s="5" t="inlineStr">
        <is>
          <t>Password manager, misc SaaS</t>
        </is>
      </c>
      <c r="C23" s="6" t="n">
        <v>20</v>
      </c>
      <c r="D23" s="6" t="n">
        <v>40</v>
      </c>
      <c r="E23" s="6" t="n">
        <v>40</v>
      </c>
      <c r="F23" s="6" t="n">
        <v>80</v>
      </c>
      <c r="G23" s="6" t="n">
        <v>60</v>
      </c>
      <c r="H23" s="6" t="n">
        <v>150</v>
      </c>
    </row>
    <row r="25">
      <c r="A25" s="14" t="inlineStr">
        <is>
          <t>TOTAL / mo</t>
        </is>
      </c>
      <c r="B25" s="14" t="n"/>
      <c r="C25" s="15">
        <f>SUM(C5:C23)</f>
        <v/>
      </c>
      <c r="D25" s="15">
        <f>SUM(D5:D23)</f>
        <v/>
      </c>
      <c r="E25" s="15">
        <f>SUM(E5:E23)</f>
        <v/>
      </c>
      <c r="F25" s="15">
        <f>SUM(F5:F23)</f>
        <v/>
      </c>
      <c r="G25" s="15">
        <f>SUM(G5:G23)</f>
        <v/>
      </c>
      <c r="H25" s="15">
        <f>SUM(H5:H23)</f>
        <v/>
      </c>
    </row>
    <row r="26">
      <c r="A26" t="inlineStr">
        <is>
          <t>Cost per paid user</t>
        </is>
      </c>
      <c r="C26" s="32">
        <f>C25/500</f>
        <v/>
      </c>
      <c r="D26" s="32">
        <f>D25/500</f>
        <v/>
      </c>
      <c r="E26" s="32">
        <f>E25/1500</f>
        <v/>
      </c>
      <c r="F26" s="32">
        <f>F25/1500</f>
        <v/>
      </c>
      <c r="G26" s="32">
        <f>G25/3000</f>
        <v/>
      </c>
      <c r="H26" s="32">
        <f>H25/3000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AI Cost Forecasting</t>
        </is>
      </c>
    </row>
    <row r="2">
      <c r="A2" s="2" t="inlineStr">
        <is>
          <t>Per-op cost, monthly usage by segment, and the optimisation levers to keep AI COGS under 15% of ARPU.</t>
        </is>
      </c>
    </row>
    <row r="4">
      <c r="A4" s="3" t="inlineStr">
        <is>
          <t>A — Cost per operation</t>
        </is>
      </c>
    </row>
    <row r="5">
      <c r="A5" s="4" t="inlineStr">
        <is>
          <t>Operation</t>
        </is>
      </c>
      <c r="B5" s="4" t="inlineStr">
        <is>
          <t>Model</t>
        </is>
      </c>
      <c r="C5" s="4" t="inlineStr">
        <is>
          <t>Tokens in</t>
        </is>
      </c>
      <c r="D5" s="4" t="inlineStr">
        <is>
          <t>Tokens out</t>
        </is>
      </c>
      <c r="E5" s="4" t="inlineStr">
        <is>
          <t>$/call</t>
        </is>
      </c>
    </row>
    <row r="6">
      <c r="A6" s="5" t="inlineStr">
        <is>
          <t>Transaction categorisation</t>
        </is>
      </c>
      <c r="B6" s="5" t="inlineStr">
        <is>
          <t>GPT-5.4 Mini</t>
        </is>
      </c>
      <c r="C6" s="24" t="n">
        <v>600</v>
      </c>
      <c r="D6" s="24" t="n">
        <v>80</v>
      </c>
      <c r="E6" s="33" t="n">
        <v>0.0015</v>
      </c>
    </row>
    <row r="7">
      <c r="A7" s="5" t="inlineStr">
        <is>
          <t>Batch categorise (10 txns)</t>
        </is>
      </c>
      <c r="B7" s="5" t="inlineStr">
        <is>
          <t>GPT-5.4 Mini</t>
        </is>
      </c>
      <c r="C7" s="24" t="n">
        <v>3000</v>
      </c>
      <c r="D7" s="24" t="n">
        <v>400</v>
      </c>
      <c r="E7" s="33" t="n">
        <v>0.0065</v>
      </c>
    </row>
    <row r="8">
      <c r="A8" s="5" t="inlineStr">
        <is>
          <t>Voice STT (10s clip)</t>
        </is>
      </c>
      <c r="B8" s="5" t="inlineStr">
        <is>
          <t>Whisper</t>
        </is>
      </c>
      <c r="C8" s="24" t="n">
        <v>0</v>
      </c>
      <c r="D8" s="24" t="n">
        <v>0</v>
      </c>
      <c r="E8" s="33" t="n">
        <v>0.001</v>
      </c>
    </row>
    <row r="9">
      <c r="A9" s="5" t="inlineStr">
        <is>
          <t>Voice intent parse</t>
        </is>
      </c>
      <c r="B9" s="5" t="inlineStr">
        <is>
          <t>GPT-5.4 Mini</t>
        </is>
      </c>
      <c r="C9" s="24" t="n">
        <v>400</v>
      </c>
      <c r="D9" s="24" t="n">
        <v>50</v>
      </c>
      <c r="E9" s="33" t="n">
        <v>0.0008</v>
      </c>
    </row>
    <row r="10">
      <c r="A10" s="5" t="inlineStr">
        <is>
          <t>Chat message</t>
        </is>
      </c>
      <c r="B10" s="5" t="inlineStr">
        <is>
          <t>Claude Haiku 4.5</t>
        </is>
      </c>
      <c r="C10" s="24" t="n">
        <v>2000</v>
      </c>
      <c r="D10" s="24" t="n">
        <v>400</v>
      </c>
      <c r="E10" s="33" t="n">
        <v>0.01</v>
      </c>
    </row>
    <row r="11">
      <c r="A11" s="5" t="inlineStr">
        <is>
          <t>Long-form insight report</t>
        </is>
      </c>
      <c r="B11" s="5" t="inlineStr">
        <is>
          <t>Claude Sonnet 5</t>
        </is>
      </c>
      <c r="C11" s="24" t="n">
        <v>8000</v>
      </c>
      <c r="D11" s="24" t="n">
        <v>2000</v>
      </c>
      <c r="E11" s="33" t="n">
        <v>0.1</v>
      </c>
    </row>
    <row r="12">
      <c r="A12" s="5" t="inlineStr">
        <is>
          <t>QBO Verify (PDF extract)</t>
        </is>
      </c>
      <c r="B12" s="5" t="inlineStr">
        <is>
          <t>Claude Sonnet 5</t>
        </is>
      </c>
      <c r="C12" s="24" t="n">
        <v>15000</v>
      </c>
      <c r="D12" s="24" t="n">
        <v>3000</v>
      </c>
      <c r="E12" s="33" t="n">
        <v>0.2</v>
      </c>
    </row>
    <row r="13">
      <c r="A13" s="5" t="inlineStr">
        <is>
          <t>Anomaly detection sweep</t>
        </is>
      </c>
      <c r="B13" s="5" t="inlineStr">
        <is>
          <t>GPT-5.4 Mini</t>
        </is>
      </c>
      <c r="C13" s="24" t="n">
        <v>4000</v>
      </c>
      <c r="D13" s="24" t="n">
        <v>300</v>
      </c>
      <c r="E13" s="33" t="n">
        <v>0.006</v>
      </c>
    </row>
    <row r="14">
      <c r="A14" s="5" t="inlineStr">
        <is>
          <t>Onboarding interview</t>
        </is>
      </c>
      <c r="B14" s="5" t="inlineStr">
        <is>
          <t>GPT-5.4 Mini</t>
        </is>
      </c>
      <c r="C14" s="24" t="n">
        <v>3000</v>
      </c>
      <c r="D14" s="24" t="n">
        <v>800</v>
      </c>
      <c r="E14" s="33" t="n">
        <v>0.008</v>
      </c>
    </row>
    <row r="15">
      <c r="A15" s="5" t="inlineStr">
        <is>
          <t>Contact match</t>
        </is>
      </c>
      <c r="B15" s="5" t="inlineStr">
        <is>
          <t>GPT-5.4 Mini</t>
        </is>
      </c>
      <c r="C15" s="24" t="n">
        <v>500</v>
      </c>
      <c r="D15" s="24" t="n">
        <v>60</v>
      </c>
      <c r="E15" s="33" t="n">
        <v>0.0009</v>
      </c>
    </row>
    <row r="16">
      <c r="A16" s="5" t="inlineStr">
        <is>
          <t>Receipt image (Nano Banana)</t>
        </is>
      </c>
      <c r="B16" s="5" t="inlineStr">
        <is>
          <t>Gemini 3.5 Flash</t>
        </is>
      </c>
      <c r="C16" s="24" t="n">
        <v>0</v>
      </c>
      <c r="D16" s="24" t="n">
        <v>200</v>
      </c>
      <c r="E16" s="33" t="n">
        <v>0.003</v>
      </c>
    </row>
    <row r="19">
      <c r="A19" s="3" t="inlineStr">
        <is>
          <t>B — Monthly usage by segment</t>
        </is>
      </c>
    </row>
    <row r="20">
      <c r="A20" s="4" t="inlineStr">
        <is>
          <t>Segment</t>
        </is>
      </c>
      <c r="B20" s="4" t="inlineStr">
        <is>
          <t>% users</t>
        </is>
      </c>
      <c r="C20" s="4" t="inlineStr">
        <is>
          <t>AI ops/mo</t>
        </is>
      </c>
      <c r="D20" s="4" t="inlineStr">
        <is>
          <t>$/user (low)</t>
        </is>
      </c>
      <c r="E20" s="4" t="inlineStr">
        <is>
          <t>$/user (high)</t>
        </is>
      </c>
    </row>
    <row r="21">
      <c r="A21" s="5" t="inlineStr">
        <is>
          <t>Free trial / dormant</t>
        </is>
      </c>
      <c r="B21" s="7" t="n">
        <v>0.3</v>
      </c>
      <c r="C21" s="24" t="n">
        <v>50</v>
      </c>
      <c r="D21" s="8" t="n">
        <v>0.1</v>
      </c>
      <c r="E21" s="8" t="n">
        <v>0.3</v>
      </c>
    </row>
    <row r="22">
      <c r="A22" s="5" t="inlineStr">
        <is>
          <t>Light client</t>
        </is>
      </c>
      <c r="B22" s="7" t="n">
        <v>0.35</v>
      </c>
      <c r="C22" s="24" t="n">
        <v>800</v>
      </c>
      <c r="D22" s="8" t="n">
        <v>1.2</v>
      </c>
      <c r="E22" s="8" t="n">
        <v>2</v>
      </c>
    </row>
    <row r="23">
      <c r="A23" s="5" t="inlineStr">
        <is>
          <t>Standard client</t>
        </is>
      </c>
      <c r="B23" s="7" t="n">
        <v>0.2</v>
      </c>
      <c r="C23" s="24" t="n">
        <v>3500</v>
      </c>
      <c r="D23" s="8" t="n">
        <v>2.5</v>
      </c>
      <c r="E23" s="8" t="n">
        <v>4.5</v>
      </c>
    </row>
    <row r="24">
      <c r="A24" s="5" t="inlineStr">
        <is>
          <t>Power client</t>
        </is>
      </c>
      <c r="B24" s="7" t="n">
        <v>0.08</v>
      </c>
      <c r="C24" s="24" t="n">
        <v>6000</v>
      </c>
      <c r="D24" s="8" t="n">
        <v>5</v>
      </c>
      <c r="E24" s="8" t="n">
        <v>9</v>
      </c>
    </row>
    <row r="25">
      <c r="A25" s="5" t="inlineStr">
        <is>
          <t>Pro (10 clients)</t>
        </is>
      </c>
      <c r="B25" s="7" t="n">
        <v>0.05</v>
      </c>
      <c r="C25" s="24" t="n">
        <v>25000</v>
      </c>
      <c r="D25" s="8" t="n">
        <v>15</v>
      </c>
      <c r="E25" s="8" t="n">
        <v>30</v>
      </c>
    </row>
    <row r="26">
      <c r="A26" s="5" t="inlineStr">
        <is>
          <t>Pro power (30 clients)</t>
        </is>
      </c>
      <c r="B26" s="7" t="n">
        <v>0.02</v>
      </c>
      <c r="C26" s="24" t="n">
        <v>60000</v>
      </c>
      <c r="D26" s="8" t="n">
        <v>35</v>
      </c>
      <c r="E26" s="8" t="n">
        <v>70</v>
      </c>
    </row>
    <row r="29">
      <c r="A29" s="3" t="inlineStr">
        <is>
          <t>C — Optimisation levers (stackable)</t>
        </is>
      </c>
    </row>
    <row r="30">
      <c r="A30" s="4" t="inlineStr">
        <is>
          <t>Lever</t>
        </is>
      </c>
      <c r="B30" s="4" t="inlineStr">
        <is>
          <t>Savings</t>
        </is>
      </c>
      <c r="C30" s="4" t="inlineStr">
        <is>
          <t>Effort</t>
        </is>
      </c>
      <c r="D30" s="4" t="inlineStr"/>
      <c r="E30" s="4" t="inlineStr"/>
    </row>
    <row r="31">
      <c r="A31" s="5" t="inlineStr">
        <is>
          <t>Route classification through GPT-5.4 Mini</t>
        </is>
      </c>
      <c r="B31" s="7" t="n">
        <v>-0.35</v>
      </c>
      <c r="C31" s="5" t="inlineStr">
        <is>
          <t>Low</t>
        </is>
      </c>
      <c r="D31" s="5" t="inlineStr"/>
      <c r="E31" s="5" t="inlineStr"/>
    </row>
    <row r="32">
      <c r="A32" s="5" t="inlineStr">
        <is>
          <t>Cache repeat classifications</t>
        </is>
      </c>
      <c r="B32" s="7" t="n">
        <v>-0.15</v>
      </c>
      <c r="C32" s="5" t="inlineStr">
        <is>
          <t>Low (2 days)</t>
        </is>
      </c>
      <c r="D32" s="5" t="inlineStr"/>
      <c r="E32" s="5" t="inlineStr"/>
    </row>
    <row r="33">
      <c r="A33" s="5" t="inlineStr">
        <is>
          <t>Batch small ops (10/call)</t>
        </is>
      </c>
      <c r="B33" s="7" t="n">
        <v>-0.25</v>
      </c>
      <c r="C33" s="5" t="inlineStr">
        <is>
          <t>Medium</t>
        </is>
      </c>
      <c r="D33" s="5" t="inlineStr"/>
      <c r="E33" s="5" t="inlineStr"/>
    </row>
    <row r="34">
      <c r="A34" s="5" t="inlineStr">
        <is>
          <t>Claude Haiku 4.5 for chat</t>
        </is>
      </c>
      <c r="B34" s="7" t="n">
        <v>-0.2</v>
      </c>
      <c r="C34" s="5" t="inlineStr">
        <is>
          <t>Low</t>
        </is>
      </c>
      <c r="D34" s="5" t="inlineStr"/>
      <c r="E34" s="5" t="inlineStr"/>
    </row>
    <row r="35">
      <c r="A35" s="5" t="inlineStr">
        <is>
          <t>Precompute nightly insight summaries</t>
        </is>
      </c>
      <c r="B35" s="7" t="n">
        <v>-0.15</v>
      </c>
      <c r="C35" s="5" t="inlineStr">
        <is>
          <t>Medium</t>
        </is>
      </c>
      <c r="D35" s="5" t="inlineStr"/>
      <c r="E35" s="5" t="inlineStr"/>
    </row>
    <row r="36">
      <c r="A36" s="5" t="inlineStr">
        <is>
          <t>Rate-limit AI Ask (20/day cap)</t>
        </is>
      </c>
      <c r="B36" s="7" t="n">
        <v>-0.08</v>
      </c>
      <c r="C36" s="5" t="inlineStr">
        <is>
          <t>Trivial</t>
        </is>
      </c>
      <c r="D36" s="5" t="inlineStr"/>
      <c r="E36" s="5" t="inlineStr"/>
    </row>
    <row r="37">
      <c r="A37" s="5" t="inlineStr">
        <is>
          <t>Realistic combined savings (overlapping)</t>
        </is>
      </c>
      <c r="B37" s="7" t="n">
        <v>-0.45</v>
      </c>
      <c r="C37" s="5" t="inlineStr">
        <is>
          <t>Stacked, non-additive</t>
        </is>
      </c>
      <c r="D37" s="5" t="inlineStr"/>
      <c r="E37" s="5" t="inlineStr"/>
    </row>
  </sheetData>
  <mergeCells count="5">
    <mergeCell ref="A29:E29"/>
    <mergeCell ref="A4:E4"/>
    <mergeCell ref="A2:E2"/>
    <mergeCell ref="A19:E19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Operational Security — Line-Item Costs by User Tier</t>
        </is>
      </c>
    </row>
    <row r="2">
      <c r="A2" s="2" t="inlineStr">
        <is>
          <t>Bank data + PII = security is not optional. All figures $/mo.</t>
        </is>
      </c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Pre-launch</t>
        </is>
      </c>
      <c r="D4" s="4" t="inlineStr">
        <is>
          <t>500 low</t>
        </is>
      </c>
      <c r="E4" s="4" t="inlineStr">
        <is>
          <t>500 high</t>
        </is>
      </c>
      <c r="F4" s="4" t="inlineStr">
        <is>
          <t>1,500 low</t>
        </is>
      </c>
      <c r="G4" s="4" t="inlineStr">
        <is>
          <t>1,500 high</t>
        </is>
      </c>
      <c r="H4" s="4" t="inlineStr">
        <is>
          <t>3,000+</t>
        </is>
      </c>
    </row>
    <row r="5">
      <c r="A5" s="5" t="inlineStr">
        <is>
          <t>Perimeter</t>
        </is>
      </c>
      <c r="B5" s="5" t="inlineStr">
        <is>
          <t>Cloudflare WAF + DDoS + Bot Mgmt</t>
        </is>
      </c>
      <c r="C5" s="6" t="n">
        <v>25</v>
      </c>
      <c r="D5" s="6" t="n">
        <v>60</v>
      </c>
      <c r="E5" s="6" t="n">
        <v>120</v>
      </c>
      <c r="F5" s="6" t="n">
        <v>200</v>
      </c>
      <c r="G5" s="6" t="n">
        <v>300</v>
      </c>
      <c r="H5" s="6" t="n">
        <v>500</v>
      </c>
    </row>
    <row r="6">
      <c r="A6" s="5" t="inlineStr">
        <is>
          <t>Perimeter</t>
        </is>
      </c>
      <c r="B6" s="5" t="inlineStr">
        <is>
          <t>Cloudflare Zero Trust (team VPN)</t>
        </is>
      </c>
      <c r="C6" s="6" t="n">
        <v>0</v>
      </c>
      <c r="D6" s="6" t="n">
        <v>0</v>
      </c>
      <c r="E6" s="6" t="n">
        <v>50</v>
      </c>
      <c r="F6" s="6" t="n">
        <v>100</v>
      </c>
      <c r="G6" s="6" t="n">
        <v>150</v>
      </c>
      <c r="H6" s="6" t="n">
        <v>250</v>
      </c>
    </row>
    <row r="7">
      <c r="A7" s="5" t="inlineStr">
        <is>
          <t>Secrets Mgmt</t>
        </is>
      </c>
      <c r="B7" s="5" t="inlineStr">
        <is>
          <t>Doppler / Infisical (env + rotation)</t>
        </is>
      </c>
      <c r="C7" s="6" t="n">
        <v>0</v>
      </c>
      <c r="D7" s="6" t="n">
        <v>25</v>
      </c>
      <c r="E7" s="6" t="n">
        <v>50</v>
      </c>
      <c r="F7" s="6" t="n">
        <v>60</v>
      </c>
      <c r="G7" s="6" t="n">
        <v>120</v>
      </c>
      <c r="H7" s="6" t="n">
        <v>240</v>
      </c>
    </row>
    <row r="8">
      <c r="A8" s="5" t="inlineStr">
        <is>
          <t>Secrets Mgmt</t>
        </is>
      </c>
      <c r="B8" s="5" t="inlineStr">
        <is>
          <t>AWS/Google Secret Manager (per-svc keys)</t>
        </is>
      </c>
      <c r="C8" s="6" t="n">
        <v>10</v>
      </c>
      <c r="D8" s="6" t="n">
        <v>20</v>
      </c>
      <c r="E8" s="6" t="n">
        <v>40</v>
      </c>
      <c r="F8" s="6" t="n">
        <v>60</v>
      </c>
      <c r="G8" s="6" t="n">
        <v>100</v>
      </c>
      <c r="H8" s="6" t="n">
        <v>200</v>
      </c>
    </row>
    <row r="9">
      <c r="A9" s="5" t="inlineStr">
        <is>
          <t>SSO / IAM</t>
        </is>
      </c>
      <c r="B9" s="5" t="inlineStr">
        <is>
          <t>SSO (SAML/OIDC) for Enterprise plan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250</v>
      </c>
      <c r="H9" s="6" t="n">
        <v>500</v>
      </c>
    </row>
    <row r="10">
      <c r="A10" s="5" t="inlineStr">
        <is>
          <t>SSO / IAM</t>
        </is>
      </c>
      <c r="B10" s="5" t="inlineStr">
        <is>
          <t>1Password Business (per seat, team of 6)</t>
        </is>
      </c>
      <c r="C10" s="6" t="n">
        <v>48</v>
      </c>
      <c r="D10" s="6" t="n">
        <v>48</v>
      </c>
      <c r="E10" s="6" t="n">
        <v>48</v>
      </c>
      <c r="F10" s="6" t="n">
        <v>96</v>
      </c>
      <c r="G10" s="6" t="n">
        <v>96</v>
      </c>
      <c r="H10" s="6" t="n">
        <v>144</v>
      </c>
    </row>
    <row r="11">
      <c r="A11" s="5" t="inlineStr">
        <is>
          <t>SSO / IAM</t>
        </is>
      </c>
      <c r="B11" s="5" t="inlineStr">
        <is>
          <t>MFA enforcement (Auth0/WorkOS add-on)</t>
        </is>
      </c>
      <c r="C11" s="6" t="n">
        <v>0</v>
      </c>
      <c r="D11" s="6" t="n">
        <v>50</v>
      </c>
      <c r="E11" s="6" t="n">
        <v>100</v>
      </c>
      <c r="F11" s="6" t="n">
        <v>150</v>
      </c>
      <c r="G11" s="6" t="n">
        <v>300</v>
      </c>
      <c r="H11" s="6" t="n">
        <v>500</v>
      </c>
    </row>
    <row r="12">
      <c r="A12" s="5" t="inlineStr">
        <is>
          <t>App Security</t>
        </is>
      </c>
      <c r="B12" s="5" t="inlineStr">
        <is>
          <t>Snyk / Semgrep (SAST + dep scanning)</t>
        </is>
      </c>
      <c r="C12" s="6" t="n">
        <v>0</v>
      </c>
      <c r="D12" s="6" t="n">
        <v>30</v>
      </c>
      <c r="E12" s="6" t="n">
        <v>60</v>
      </c>
      <c r="F12" s="6" t="n">
        <v>100</v>
      </c>
      <c r="G12" s="6" t="n">
        <v>200</v>
      </c>
      <c r="H12" s="6" t="n">
        <v>400</v>
      </c>
    </row>
    <row r="13">
      <c r="A13" s="5" t="inlineStr">
        <is>
          <t>App Security</t>
        </is>
      </c>
      <c r="B13" s="5" t="inlineStr">
        <is>
          <t>GitHub Advanced Security</t>
        </is>
      </c>
      <c r="C13" s="6" t="n">
        <v>0</v>
      </c>
      <c r="D13" s="6" t="n">
        <v>0</v>
      </c>
      <c r="E13" s="6" t="n">
        <v>49</v>
      </c>
      <c r="F13" s="6" t="n">
        <v>49</v>
      </c>
      <c r="G13" s="6" t="n">
        <v>147</v>
      </c>
      <c r="H13" s="6" t="n">
        <v>294</v>
      </c>
    </row>
    <row r="14">
      <c r="A14" s="5" t="inlineStr">
        <is>
          <t>App Security</t>
        </is>
      </c>
      <c r="B14" s="5" t="inlineStr">
        <is>
          <t>DAST (StackHawk / Detectify weekly scan)</t>
        </is>
      </c>
      <c r="C14" s="6" t="n">
        <v>0</v>
      </c>
      <c r="D14" s="6" t="n">
        <v>0</v>
      </c>
      <c r="E14" s="6" t="n">
        <v>100</v>
      </c>
      <c r="F14" s="6" t="n">
        <v>250</v>
      </c>
      <c r="G14" s="6" t="n">
        <v>400</v>
      </c>
      <c r="H14" s="6" t="n">
        <v>700</v>
      </c>
    </row>
    <row r="15">
      <c r="A15" s="5" t="inlineStr">
        <is>
          <t>Bug Bounty</t>
        </is>
      </c>
      <c r="B15" s="5" t="inlineStr">
        <is>
          <t>HackerOne / Intigriti public program</t>
        </is>
      </c>
      <c r="C15" s="6" t="n">
        <v>0</v>
      </c>
      <c r="D15" s="6" t="n">
        <v>0</v>
      </c>
      <c r="E15" s="6" t="n">
        <v>0</v>
      </c>
      <c r="F15" s="6" t="n">
        <v>500</v>
      </c>
      <c r="G15" s="6" t="n">
        <v>800</v>
      </c>
      <c r="H15" s="6" t="n">
        <v>1500</v>
      </c>
    </row>
    <row r="16">
      <c r="A16" s="5" t="inlineStr">
        <is>
          <t>Bug Bounty</t>
        </is>
      </c>
      <c r="B16" s="5" t="inlineStr">
        <is>
          <t>Bounty pool (avg payouts, budgeted)</t>
        </is>
      </c>
      <c r="C16" s="6" t="n">
        <v>0</v>
      </c>
      <c r="D16" s="6" t="n">
        <v>0</v>
      </c>
      <c r="E16" s="6" t="n">
        <v>0</v>
      </c>
      <c r="F16" s="6" t="n">
        <v>300</v>
      </c>
      <c r="G16" s="6" t="n">
        <v>600</v>
      </c>
      <c r="H16" s="6" t="n">
        <v>1200</v>
      </c>
    </row>
    <row r="17">
      <c r="A17" s="5" t="inlineStr">
        <is>
          <t>Endpoint</t>
        </is>
      </c>
      <c r="B17" s="5" t="inlineStr">
        <is>
          <t>MDM (Kandji/Jamf, per device)</t>
        </is>
      </c>
      <c r="C17" s="6" t="n">
        <v>0</v>
      </c>
      <c r="D17" s="6" t="n">
        <v>60</v>
      </c>
      <c r="E17" s="6" t="n">
        <v>60</v>
      </c>
      <c r="F17" s="6" t="n">
        <v>180</v>
      </c>
      <c r="G17" s="6" t="n">
        <v>240</v>
      </c>
      <c r="H17" s="6" t="n">
        <v>480</v>
      </c>
    </row>
    <row r="18">
      <c r="A18" s="5" t="inlineStr">
        <is>
          <t>Endpoint</t>
        </is>
      </c>
      <c r="B18" s="5" t="inlineStr">
        <is>
          <t>EDR (CrowdStrike/SentinelOne, per seat)</t>
        </is>
      </c>
      <c r="C18" s="6" t="n">
        <v>0</v>
      </c>
      <c r="D18" s="6" t="n">
        <v>36</v>
      </c>
      <c r="E18" s="6" t="n">
        <v>36</v>
      </c>
      <c r="F18" s="6" t="n">
        <v>108</v>
      </c>
      <c r="G18" s="6" t="n">
        <v>144</v>
      </c>
      <c r="H18" s="6" t="n">
        <v>288</v>
      </c>
    </row>
    <row r="19">
      <c r="A19" s="5" t="inlineStr">
        <is>
          <t>Logging</t>
        </is>
      </c>
      <c r="B19" s="5" t="inlineStr">
        <is>
          <t>SIEM (Panther / Datadog Cloud SIEM)</t>
        </is>
      </c>
      <c r="C19" s="6" t="n">
        <v>0</v>
      </c>
      <c r="D19" s="6" t="n">
        <v>0</v>
      </c>
      <c r="E19" s="6" t="n">
        <v>100</v>
      </c>
      <c r="F19" s="6" t="n">
        <v>200</v>
      </c>
      <c r="G19" s="6" t="n">
        <v>500</v>
      </c>
      <c r="H19" s="6" t="n">
        <v>1000</v>
      </c>
    </row>
    <row r="20">
      <c r="A20" s="5" t="inlineStr">
        <is>
          <t>Logging</t>
        </is>
      </c>
      <c r="B20" s="5" t="inlineStr">
        <is>
          <t>Audit-log retention (S3 Glacier)</t>
        </is>
      </c>
      <c r="C20" s="6" t="n">
        <v>5</v>
      </c>
      <c r="D20" s="6" t="n">
        <v>10</v>
      </c>
      <c r="E20" s="6" t="n">
        <v>20</v>
      </c>
      <c r="F20" s="6" t="n">
        <v>40</v>
      </c>
      <c r="G20" s="6" t="n">
        <v>80</v>
      </c>
      <c r="H20" s="6" t="n">
        <v>160</v>
      </c>
    </row>
    <row r="21">
      <c r="A21" s="5" t="inlineStr">
        <is>
          <t>Backup / DR</t>
        </is>
      </c>
      <c r="B21" s="5" t="inlineStr">
        <is>
          <t>Cross-region MongoDB backup + PITR</t>
        </is>
      </c>
      <c r="C21" s="6" t="n">
        <v>20</v>
      </c>
      <c r="D21" s="6" t="n">
        <v>40</v>
      </c>
      <c r="E21" s="6" t="n">
        <v>80</v>
      </c>
      <c r="F21" s="6" t="n">
        <v>120</v>
      </c>
      <c r="G21" s="6" t="n">
        <v>200</v>
      </c>
      <c r="H21" s="6" t="n">
        <v>400</v>
      </c>
    </row>
    <row r="22">
      <c r="A22" s="5" t="inlineStr">
        <is>
          <t>Backup / DR</t>
        </is>
      </c>
      <c r="B22" s="5" t="inlineStr">
        <is>
          <t>Immutable off-site backup (Wasabi/S3 lock)</t>
        </is>
      </c>
      <c r="C22" s="6" t="n">
        <v>10</v>
      </c>
      <c r="D22" s="6" t="n">
        <v>20</v>
      </c>
      <c r="E22" s="6" t="n">
        <v>40</v>
      </c>
      <c r="F22" s="6" t="n">
        <v>60</v>
      </c>
      <c r="G22" s="6" t="n">
        <v>120</v>
      </c>
      <c r="H22" s="6" t="n">
        <v>240</v>
      </c>
    </row>
    <row r="23">
      <c r="A23" s="5" t="inlineStr">
        <is>
          <t>Compliance Ops</t>
        </is>
      </c>
      <c r="B23" s="5" t="inlineStr">
        <is>
          <t>Vanta / Drata (SOC 2 automation)</t>
        </is>
      </c>
      <c r="C23" s="6" t="n">
        <v>0</v>
      </c>
      <c r="D23" s="6" t="n">
        <v>0</v>
      </c>
      <c r="E23" s="6" t="n">
        <v>0</v>
      </c>
      <c r="F23" s="6" t="n">
        <v>800</v>
      </c>
      <c r="G23" s="6" t="n">
        <v>1250</v>
      </c>
      <c r="H23" s="6" t="n">
        <v>1250</v>
      </c>
    </row>
    <row r="24">
      <c r="A24" s="5" t="inlineStr">
        <is>
          <t>Compliance Ops</t>
        </is>
      </c>
      <c r="B24" s="5" t="inlineStr">
        <is>
          <t>Annual pen-test (amortised /mo)</t>
        </is>
      </c>
      <c r="C24" s="6" t="n">
        <v>0</v>
      </c>
      <c r="D24" s="6" t="n">
        <v>0</v>
      </c>
      <c r="E24" s="6" t="n">
        <v>0</v>
      </c>
      <c r="F24" s="6" t="n">
        <v>500</v>
      </c>
      <c r="G24" s="6" t="n">
        <v>750</v>
      </c>
      <c r="H24" s="6" t="n">
        <v>1000</v>
      </c>
    </row>
    <row r="25">
      <c r="A25" s="5" t="inlineStr">
        <is>
          <t>Compliance Ops</t>
        </is>
      </c>
      <c r="B25" s="5" t="inlineStr">
        <is>
          <t>IR retainer (Kroll / Mandiant)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400</v>
      </c>
      <c r="H25" s="6" t="n">
        <v>800</v>
      </c>
    </row>
    <row r="26">
      <c r="A26" s="5" t="inlineStr">
        <is>
          <t>Fraud / Abuse</t>
        </is>
      </c>
      <c r="B26" s="5" t="inlineStr">
        <is>
          <t>reCAPTCHA Enterprise + IP intel</t>
        </is>
      </c>
      <c r="C26" s="6" t="n">
        <v>0</v>
      </c>
      <c r="D26" s="6" t="n">
        <v>20</v>
      </c>
      <c r="E26" s="6" t="n">
        <v>40</v>
      </c>
      <c r="F26" s="6" t="n">
        <v>80</v>
      </c>
      <c r="G26" s="6" t="n">
        <v>150</v>
      </c>
      <c r="H26" s="6" t="n">
        <v>300</v>
      </c>
    </row>
    <row r="27">
      <c r="A27" s="5" t="inlineStr">
        <is>
          <t>Fraud / Abuse</t>
        </is>
      </c>
      <c r="B27" s="5" t="inlineStr">
        <is>
          <t>Rate-limit + abuse mgmt (Kong/Cloudflare)</t>
        </is>
      </c>
      <c r="C27" s="6" t="n">
        <v>0</v>
      </c>
      <c r="D27" s="6" t="n">
        <v>0</v>
      </c>
      <c r="E27" s="6" t="n">
        <v>30</v>
      </c>
      <c r="F27" s="6" t="n">
        <v>60</v>
      </c>
      <c r="G27" s="6" t="n">
        <v>120</v>
      </c>
      <c r="H27" s="6" t="n">
        <v>240</v>
      </c>
    </row>
    <row r="29">
      <c r="A29" s="14" t="inlineStr">
        <is>
          <t>TOTAL SECURITY / MONTH</t>
        </is>
      </c>
      <c r="B29" s="14" t="n"/>
      <c r="C29" s="15">
        <f>SUM(C5:C27)</f>
        <v/>
      </c>
      <c r="D29" s="15">
        <f>SUM(D5:D27)</f>
        <v/>
      </c>
      <c r="E29" s="15">
        <f>SUM(E5:E27)</f>
        <v/>
      </c>
      <c r="F29" s="15">
        <f>SUM(F5:F27)</f>
        <v/>
      </c>
      <c r="G29" s="15">
        <f>SUM(G5:G27)</f>
        <v/>
      </c>
      <c r="H29" s="15">
        <f>SUM(H5:H27)</f>
        <v/>
      </c>
    </row>
    <row r="31">
      <c r="A31" s="31" t="inlineStr">
        <is>
          <t>• Pre-launch = Day 1 essentials (Cloudflare, secrets, MFA, 1Password, encrypted backups).</t>
        </is>
      </c>
    </row>
    <row r="32">
      <c r="A32" s="31" t="inlineStr">
        <is>
          <t>• 500-user tier layers in Snyk, MDM, EDR, basic SIEM — SOC 2 Type I readiness.</t>
        </is>
      </c>
    </row>
    <row r="33">
      <c r="A33" s="31" t="inlineStr">
        <is>
          <t>• 1,500-user tier adds Vanta, pen-test, DAST, bug bounty.</t>
        </is>
      </c>
    </row>
    <row r="34">
      <c r="A34" s="31" t="inlineStr">
        <is>
          <t>• 3,000+ = mature program (SIEM w/ retention, IR retainer, GitHub Advanced Security).</t>
        </is>
      </c>
    </row>
  </sheetData>
  <mergeCells count="6">
    <mergeCell ref="A2:H2"/>
    <mergeCell ref="A33:H33"/>
    <mergeCell ref="A1:H1"/>
    <mergeCell ref="A32:H32"/>
    <mergeCell ref="A31:H3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Profit Breakdown — infra-only vs. ALL-IN (with team)</t>
        </is>
      </c>
    </row>
    <row r="2">
      <c r="A2" s="2" t="inlineStr">
        <is>
          <t>Blended ARPU = $70.60 (40/35/15/10 mix of $38/$75/$95/$149). All-in adds outsource + FTE loaded costs.</t>
        </is>
      </c>
    </row>
    <row r="4">
      <c r="A4" s="3" t="inlineStr">
        <is>
          <t>A. MRR contribution per tier (users × price × mix%)</t>
        </is>
      </c>
    </row>
    <row r="5">
      <c r="A5" s="4" t="inlineStr">
        <is>
          <t>Total users</t>
        </is>
      </c>
      <c r="B5" s="4" t="inlineStr">
        <is>
          <t>Solo $38 (40%)</t>
        </is>
      </c>
      <c r="C5" s="4" t="inlineStr">
        <is>
          <t>Standard $75 (35%)</t>
        </is>
      </c>
      <c r="D5" s="4" t="inlineStr">
        <is>
          <t>Pro $95 (15%)</t>
        </is>
      </c>
      <c r="E5" s="4" t="inlineStr">
        <is>
          <t>Enterprise $149 (10%)</t>
        </is>
      </c>
      <c r="F5" s="4" t="inlineStr">
        <is>
          <t>Total MRR</t>
        </is>
      </c>
      <c r="G5" s="4" t="inlineStr">
        <is>
          <t>Total ARR</t>
        </is>
      </c>
      <c r="H5" s="4" t="inlineStr"/>
      <c r="I5" s="4" t="inlineStr"/>
    </row>
    <row r="6">
      <c r="A6" s="5" t="n">
        <v>100</v>
      </c>
      <c r="B6" s="6" t="n">
        <v>1520</v>
      </c>
      <c r="C6" s="6" t="n">
        <v>2625</v>
      </c>
      <c r="D6" s="6" t="n">
        <v>1425</v>
      </c>
      <c r="E6" s="6" t="n">
        <v>1490</v>
      </c>
      <c r="F6" s="6" t="n">
        <v>7060</v>
      </c>
      <c r="G6" s="6" t="n">
        <v>84720</v>
      </c>
      <c r="H6" s="5" t="inlineStr"/>
      <c r="I6" s="5" t="inlineStr"/>
    </row>
    <row r="7">
      <c r="A7" s="5" t="n">
        <v>250</v>
      </c>
      <c r="B7" s="6" t="n">
        <v>3800</v>
      </c>
      <c r="C7" s="6" t="n">
        <v>6562.5</v>
      </c>
      <c r="D7" s="6" t="n">
        <v>3562.5</v>
      </c>
      <c r="E7" s="6" t="n">
        <v>3725</v>
      </c>
      <c r="F7" s="6" t="n">
        <v>17650</v>
      </c>
      <c r="G7" s="6" t="n">
        <v>211800</v>
      </c>
      <c r="H7" s="5" t="inlineStr"/>
      <c r="I7" s="5" t="inlineStr"/>
    </row>
    <row r="8">
      <c r="A8" s="5" t="n">
        <v>500</v>
      </c>
      <c r="B8" s="6" t="n">
        <v>7600</v>
      </c>
      <c r="C8" s="6" t="n">
        <v>13125</v>
      </c>
      <c r="D8" s="6" t="n">
        <v>7125</v>
      </c>
      <c r="E8" s="6" t="n">
        <v>7450</v>
      </c>
      <c r="F8" s="6" t="n">
        <v>35300</v>
      </c>
      <c r="G8" s="6" t="n">
        <v>423600</v>
      </c>
      <c r="H8" s="5" t="inlineStr"/>
      <c r="I8" s="5" t="inlineStr"/>
    </row>
    <row r="9">
      <c r="A9" s="5" t="n">
        <v>1000</v>
      </c>
      <c r="B9" s="6" t="n">
        <v>15200</v>
      </c>
      <c r="C9" s="6" t="n">
        <v>26250</v>
      </c>
      <c r="D9" s="6" t="n">
        <v>14250</v>
      </c>
      <c r="E9" s="6" t="n">
        <v>14900</v>
      </c>
      <c r="F9" s="6" t="n">
        <v>70600</v>
      </c>
      <c r="G9" s="6" t="n">
        <v>847200</v>
      </c>
      <c r="H9" s="5" t="inlineStr"/>
      <c r="I9" s="5" t="inlineStr"/>
    </row>
    <row r="10">
      <c r="A10" s="5" t="n">
        <v>1500</v>
      </c>
      <c r="B10" s="6" t="n">
        <v>22800</v>
      </c>
      <c r="C10" s="6" t="n">
        <v>39375</v>
      </c>
      <c r="D10" s="6" t="n">
        <v>21375</v>
      </c>
      <c r="E10" s="6" t="n">
        <v>22350</v>
      </c>
      <c r="F10" s="6" t="n">
        <v>105900</v>
      </c>
      <c r="G10" s="6" t="n">
        <v>1270800</v>
      </c>
      <c r="H10" s="5" t="inlineStr"/>
      <c r="I10" s="5" t="inlineStr"/>
    </row>
    <row r="11">
      <c r="A11" s="5" t="n">
        <v>3000</v>
      </c>
      <c r="B11" s="6" t="n">
        <v>45600</v>
      </c>
      <c r="C11" s="6" t="n">
        <v>78750</v>
      </c>
      <c r="D11" s="6" t="n">
        <v>42750</v>
      </c>
      <c r="E11" s="6" t="n">
        <v>44700</v>
      </c>
      <c r="F11" s="6" t="n">
        <v>211800</v>
      </c>
      <c r="G11" s="6" t="n">
        <v>2541600</v>
      </c>
      <c r="H11" s="5" t="inlineStr"/>
      <c r="I11" s="5" t="inlineStr"/>
    </row>
    <row r="12">
      <c r="A12" s="5" t="n">
        <v>5000</v>
      </c>
      <c r="B12" s="6" t="n">
        <v>76000</v>
      </c>
      <c r="C12" s="6" t="n">
        <v>131250</v>
      </c>
      <c r="D12" s="6" t="n">
        <v>71250</v>
      </c>
      <c r="E12" s="6" t="n">
        <v>74500</v>
      </c>
      <c r="F12" s="6" t="n">
        <v>353000</v>
      </c>
      <c r="G12" s="6" t="n">
        <v>4236000</v>
      </c>
      <c r="H12" s="5" t="inlineStr"/>
      <c r="I12" s="5" t="inlineStr"/>
    </row>
    <row r="15">
      <c r="A15" s="3" t="inlineStr">
        <is>
          <t>B. INFRA-ONLY gross profit — the unit-economics number</t>
        </is>
      </c>
    </row>
    <row r="16">
      <c r="A16" s="4" t="inlineStr">
        <is>
          <t>Users</t>
        </is>
      </c>
      <c r="B16" s="4" t="inlineStr">
        <is>
          <t>MRR</t>
        </is>
      </c>
      <c r="C16" s="4" t="inlineStr">
        <is>
          <t>Infra + SaaS + AI</t>
        </is>
      </c>
      <c r="D16" s="4" t="inlineStr">
        <is>
          <t>Gross profit</t>
        </is>
      </c>
      <c r="E16" s="4" t="inlineStr">
        <is>
          <t>Gross margin</t>
        </is>
      </c>
      <c r="F16" s="4" t="inlineStr">
        <is>
          <t>Annual profit</t>
        </is>
      </c>
      <c r="G16" s="4" t="inlineStr">
        <is>
          <t>Cost/user</t>
        </is>
      </c>
      <c r="H16" s="4" t="inlineStr"/>
      <c r="I16" s="4" t="inlineStr"/>
    </row>
    <row r="17">
      <c r="A17" s="5" t="n">
        <v>100</v>
      </c>
      <c r="B17" s="6" t="n">
        <v>7060.000000000001</v>
      </c>
      <c r="C17" s="6" t="n">
        <v>3500</v>
      </c>
      <c r="D17" s="6" t="n">
        <v>3560.000000000001</v>
      </c>
      <c r="E17" s="12" t="n">
        <v>0.5042492917847026</v>
      </c>
      <c r="F17" s="6" t="n">
        <v>42720.00000000001</v>
      </c>
      <c r="G17" s="8" t="n">
        <v>35</v>
      </c>
      <c r="H17" s="5" t="inlineStr"/>
      <c r="I17" s="5" t="inlineStr"/>
    </row>
    <row r="18">
      <c r="A18" s="5" t="n">
        <v>250</v>
      </c>
      <c r="B18" s="6" t="n">
        <v>17650</v>
      </c>
      <c r="C18" s="6" t="n">
        <v>4000</v>
      </c>
      <c r="D18" s="6" t="n">
        <v>13650</v>
      </c>
      <c r="E18" s="12" t="n">
        <v>0.773371104815864</v>
      </c>
      <c r="F18" s="6" t="n">
        <v>163800.0000000001</v>
      </c>
      <c r="G18" s="8" t="n">
        <v>16</v>
      </c>
      <c r="H18" s="5" t="inlineStr"/>
      <c r="I18" s="5" t="inlineStr"/>
    </row>
    <row r="19">
      <c r="A19" s="5" t="n">
        <v>500</v>
      </c>
      <c r="B19" s="6" t="n">
        <v>35300.00000000001</v>
      </c>
      <c r="C19" s="6" t="n">
        <v>4000</v>
      </c>
      <c r="D19" s="6" t="n">
        <v>31300.00000000001</v>
      </c>
      <c r="E19" s="12" t="n">
        <v>0.886685552407932</v>
      </c>
      <c r="F19" s="6" t="n">
        <v>375600.0000000001</v>
      </c>
      <c r="G19" s="8" t="n">
        <v>8</v>
      </c>
      <c r="H19" s="5" t="inlineStr"/>
      <c r="I19" s="5" t="inlineStr"/>
    </row>
    <row r="20">
      <c r="A20" s="5" t="n">
        <v>1000</v>
      </c>
      <c r="B20" s="6" t="n">
        <v>70600.00000000001</v>
      </c>
      <c r="C20" s="6" t="n">
        <v>8500</v>
      </c>
      <c r="D20" s="6" t="n">
        <v>62100.00000000001</v>
      </c>
      <c r="E20" s="12" t="n">
        <v>0.8796033994334278</v>
      </c>
      <c r="F20" s="6" t="n">
        <v>745200.0000000002</v>
      </c>
      <c r="G20" s="8" t="n">
        <v>8.5</v>
      </c>
      <c r="H20" s="5" t="inlineStr"/>
      <c r="I20" s="5" t="inlineStr"/>
    </row>
    <row r="21">
      <c r="A21" s="5" t="n">
        <v>1500</v>
      </c>
      <c r="B21" s="6" t="n">
        <v>105900</v>
      </c>
      <c r="C21" s="6" t="n">
        <v>11000</v>
      </c>
      <c r="D21" s="6" t="n">
        <v>94900.00000000001</v>
      </c>
      <c r="E21" s="12" t="n">
        <v>0.8961284230406044</v>
      </c>
      <c r="F21" s="6" t="n">
        <v>1138800</v>
      </c>
      <c r="G21" s="8" t="n">
        <v>7.333333333333333</v>
      </c>
      <c r="H21" s="5" t="inlineStr"/>
      <c r="I21" s="5" t="inlineStr"/>
    </row>
    <row r="22">
      <c r="A22" s="5" t="n">
        <v>3000</v>
      </c>
      <c r="B22" s="6" t="n">
        <v>211800</v>
      </c>
      <c r="C22" s="6" t="n">
        <v>26000</v>
      </c>
      <c r="D22" s="6" t="n">
        <v>185800</v>
      </c>
      <c r="E22" s="12" t="n">
        <v>0.8772426817752597</v>
      </c>
      <c r="F22" s="6" t="n">
        <v>2229600</v>
      </c>
      <c r="G22" s="8" t="n">
        <v>8.666666666666666</v>
      </c>
      <c r="H22" s="5" t="inlineStr"/>
      <c r="I22" s="5" t="inlineStr"/>
    </row>
    <row r="23">
      <c r="A23" s="5" t="n">
        <v>5000</v>
      </c>
      <c r="B23" s="6" t="n">
        <v>353000.0000000001</v>
      </c>
      <c r="C23" s="6" t="n">
        <v>42000</v>
      </c>
      <c r="D23" s="6" t="n">
        <v>311000.0000000001</v>
      </c>
      <c r="E23" s="12" t="n">
        <v>0.8810198300283286</v>
      </c>
      <c r="F23" s="6" t="n">
        <v>3732000.000000001</v>
      </c>
      <c r="G23" s="8" t="n">
        <v>8.4</v>
      </c>
      <c r="H23" s="5" t="inlineStr"/>
      <c r="I23" s="5" t="inlineStr"/>
    </row>
    <row r="26">
      <c r="A26" s="3" t="inlineStr">
        <is>
          <t>C. ALL-IN monthly cost + margin (infra + outsource + FTE loaded)</t>
        </is>
      </c>
    </row>
    <row r="27">
      <c r="A27" s="4" t="inlineStr">
        <is>
          <t>Users</t>
        </is>
      </c>
      <c r="B27" s="4" t="inlineStr">
        <is>
          <t>MRR</t>
        </is>
      </c>
      <c r="C27" s="4" t="inlineStr">
        <is>
          <t>Infra</t>
        </is>
      </c>
      <c r="D27" s="4" t="inlineStr">
        <is>
          <t>Outsource</t>
        </is>
      </c>
      <c r="E27" s="4" t="inlineStr">
        <is>
          <t>FTE loaded</t>
        </is>
      </c>
      <c r="F27" s="4" t="inlineStr">
        <is>
          <t>All-in cost</t>
        </is>
      </c>
      <c r="G27" s="4" t="inlineStr">
        <is>
          <t>All-in profit</t>
        </is>
      </c>
      <c r="H27" s="4" t="inlineStr">
        <is>
          <t>All-in margin</t>
        </is>
      </c>
      <c r="I27" s="4" t="inlineStr">
        <is>
          <t>Annual profit</t>
        </is>
      </c>
    </row>
    <row r="28">
      <c r="A28" s="5" t="n">
        <v>100</v>
      </c>
      <c r="B28" s="6" t="n">
        <v>7060.000000000001</v>
      </c>
      <c r="C28" s="6" t="n">
        <v>3500</v>
      </c>
      <c r="D28" s="6" t="n">
        <v>3000</v>
      </c>
      <c r="E28" s="6" t="n">
        <v>0</v>
      </c>
      <c r="F28" s="6" t="n">
        <v>6500</v>
      </c>
      <c r="G28" s="6" t="n">
        <v>560.0000000000009</v>
      </c>
      <c r="H28" s="12" t="n">
        <v>0.07932011331444772</v>
      </c>
      <c r="I28" s="6" t="n">
        <v>6720.000000000011</v>
      </c>
    </row>
    <row r="29">
      <c r="A29" s="5" t="n">
        <v>250</v>
      </c>
      <c r="B29" s="6" t="n">
        <v>17650</v>
      </c>
      <c r="C29" s="6" t="n">
        <v>4000</v>
      </c>
      <c r="D29" s="6" t="n">
        <v>4000</v>
      </c>
      <c r="E29" s="6" t="n">
        <v>0</v>
      </c>
      <c r="F29" s="6" t="n">
        <v>8000</v>
      </c>
      <c r="G29" s="6" t="n">
        <v>9650.000000000004</v>
      </c>
      <c r="H29" s="12" t="n">
        <v>0.5467422096317281</v>
      </c>
      <c r="I29" s="6" t="n">
        <v>115800</v>
      </c>
    </row>
    <row r="30">
      <c r="A30" s="5" t="n">
        <v>500</v>
      </c>
      <c r="B30" s="6" t="n">
        <v>35300.00000000001</v>
      </c>
      <c r="C30" s="6" t="n">
        <v>4000</v>
      </c>
      <c r="D30" s="6" t="n">
        <v>6000</v>
      </c>
      <c r="E30" s="6" t="n">
        <v>0</v>
      </c>
      <c r="F30" s="6" t="n">
        <v>10000</v>
      </c>
      <c r="G30" s="6" t="n">
        <v>25300.00000000001</v>
      </c>
      <c r="H30" s="12" t="n">
        <v>0.7167138810198301</v>
      </c>
      <c r="I30" s="6" t="n">
        <v>303600.0000000001</v>
      </c>
    </row>
    <row r="31">
      <c r="A31" s="5" t="n">
        <v>1000</v>
      </c>
      <c r="B31" s="6" t="n">
        <v>70600.00000000001</v>
      </c>
      <c r="C31" s="6" t="n">
        <v>8500</v>
      </c>
      <c r="D31" s="6" t="n">
        <v>7000</v>
      </c>
      <c r="E31" s="6" t="n">
        <v>16250</v>
      </c>
      <c r="F31" s="6" t="n">
        <v>31750</v>
      </c>
      <c r="G31" s="6" t="n">
        <v>38850.00000000001</v>
      </c>
      <c r="H31" s="12" t="n">
        <v>0.5502832861189803</v>
      </c>
      <c r="I31" s="6" t="n">
        <v>466200.0000000002</v>
      </c>
    </row>
    <row r="32">
      <c r="A32" s="5" t="n">
        <v>1500</v>
      </c>
      <c r="B32" s="6" t="n">
        <v>105900</v>
      </c>
      <c r="C32" s="6" t="n">
        <v>11000</v>
      </c>
      <c r="D32" s="6" t="n">
        <v>9000</v>
      </c>
      <c r="E32" s="6" t="n">
        <v>33750</v>
      </c>
      <c r="F32" s="6" t="n">
        <v>53750</v>
      </c>
      <c r="G32" s="6" t="n">
        <v>52150.00000000001</v>
      </c>
      <c r="H32" s="12" t="n">
        <v>0.4924457034938622</v>
      </c>
      <c r="I32" s="6" t="n">
        <v>625800.0000000002</v>
      </c>
    </row>
    <row r="33">
      <c r="A33" s="5" t="n">
        <v>3000</v>
      </c>
      <c r="B33" s="6" t="n">
        <v>211800</v>
      </c>
      <c r="C33" s="6" t="n">
        <v>26000</v>
      </c>
      <c r="D33" s="6" t="n">
        <v>10000</v>
      </c>
      <c r="E33" s="6" t="n">
        <v>82083.33333333333</v>
      </c>
      <c r="F33" s="6" t="n">
        <v>118083.3333333333</v>
      </c>
      <c r="G33" s="6" t="n">
        <v>93716.6666666667</v>
      </c>
      <c r="H33" s="12" t="n">
        <v>0.4424771797293044</v>
      </c>
      <c r="I33" s="6" t="n">
        <v>1124600</v>
      </c>
    </row>
    <row r="34">
      <c r="A34" s="5" t="n">
        <v>5000</v>
      </c>
      <c r="B34" s="6" t="n">
        <v>353000.0000000001</v>
      </c>
      <c r="C34" s="6" t="n">
        <v>42000</v>
      </c>
      <c r="D34" s="6" t="n">
        <v>8000</v>
      </c>
      <c r="E34" s="6" t="n">
        <v>82083.33333333333</v>
      </c>
      <c r="F34" s="6" t="n">
        <v>132083.3333333333</v>
      </c>
      <c r="G34" s="6" t="n">
        <v>220916.6666666667</v>
      </c>
      <c r="H34" s="12" t="n">
        <v>0.625826251180359</v>
      </c>
      <c r="I34" s="6" t="n">
        <v>2651000.000000001</v>
      </c>
    </row>
    <row r="37">
      <c r="A37" s="3" t="inlineStr">
        <is>
          <t>D. Break-even users by cost scenario (blended $70.60 ARPU)</t>
        </is>
      </c>
    </row>
    <row r="38">
      <c r="A38" s="4" t="inlineStr">
        <is>
          <t>Scenario</t>
        </is>
      </c>
      <c r="B38" s="4" t="inlineStr">
        <is>
          <t>Total burn /mo</t>
        </is>
      </c>
      <c r="C38" s="4" t="inlineStr">
        <is>
          <t>Break-even @ blended</t>
        </is>
      </c>
      <c r="D38" s="4" t="inlineStr">
        <is>
          <t>@ $75 Std</t>
        </is>
      </c>
      <c r="E38" s="4" t="inlineStr">
        <is>
          <t>@ $95 Pro</t>
        </is>
      </c>
      <c r="F38" s="4" t="inlineStr"/>
      <c r="G38" s="4" t="inlineStr"/>
      <c r="H38" s="4" t="inlineStr"/>
      <c r="I38" s="4" t="inlineStr"/>
    </row>
    <row r="39">
      <c r="A39" s="5" t="inlineStr">
        <is>
          <t>Bare-minimum floor (paused build)</t>
        </is>
      </c>
      <c r="B39" s="6" t="n">
        <v>2100</v>
      </c>
      <c r="C39" s="24" t="n">
        <v>30</v>
      </c>
      <c r="D39" s="24" t="n">
        <v>28</v>
      </c>
      <c r="E39" s="24" t="n">
        <v>22</v>
      </c>
      <c r="F39" s="5" t="inlineStr"/>
      <c r="G39" s="5" t="inlineStr"/>
      <c r="H39" s="5" t="inlineStr"/>
      <c r="I39" s="5" t="inlineStr"/>
    </row>
    <row r="40">
      <c r="A40" s="5" t="inlineStr">
        <is>
          <t>Steady state (1 fractional dev)</t>
        </is>
      </c>
      <c r="B40" s="6" t="n">
        <v>5500</v>
      </c>
      <c r="C40" s="24" t="n">
        <v>78</v>
      </c>
      <c r="D40" s="24" t="n">
        <v>73</v>
      </c>
      <c r="E40" s="24" t="n">
        <v>58</v>
      </c>
      <c r="F40" s="5" t="inlineStr"/>
      <c r="G40" s="5" t="inlineStr"/>
      <c r="H40" s="5" t="inlineStr"/>
      <c r="I40" s="5" t="inlineStr"/>
    </row>
    <row r="41">
      <c r="A41" s="5" t="inlineStr">
        <is>
          <t>Pre-launch today (heavy build)</t>
        </is>
      </c>
      <c r="B41" s="6" t="n">
        <v>15500</v>
      </c>
      <c r="C41" s="24" t="n">
        <v>220</v>
      </c>
      <c r="D41" s="24" t="n">
        <v>207</v>
      </c>
      <c r="E41" s="24" t="n">
        <v>163</v>
      </c>
      <c r="F41" s="5" t="inlineStr"/>
      <c r="G41" s="5" t="inlineStr"/>
      <c r="H41" s="5" t="inlineStr"/>
      <c r="I41" s="5" t="inlineStr"/>
    </row>
    <row r="42">
      <c r="A42" s="5" t="inlineStr">
        <is>
          <t>Post-launch, no FTE (500u infra + outs)</t>
        </is>
      </c>
      <c r="B42" s="6" t="n">
        <v>10000</v>
      </c>
      <c r="C42" s="24" t="n">
        <v>142</v>
      </c>
      <c r="D42" s="24" t="n">
        <v>133</v>
      </c>
      <c r="E42" s="24" t="n">
        <v>105</v>
      </c>
      <c r="F42" s="5" t="inlineStr"/>
      <c r="G42" s="5" t="inlineStr"/>
      <c r="H42" s="5" t="inlineStr"/>
      <c r="I42" s="5" t="inlineStr"/>
    </row>
    <row r="43">
      <c r="A43" s="5" t="inlineStr">
        <is>
          <t>1 FTE hired (1,000u stage)</t>
        </is>
      </c>
      <c r="B43" s="6" t="n">
        <v>31750</v>
      </c>
      <c r="C43" s="24" t="n">
        <v>450</v>
      </c>
      <c r="D43" s="24" t="n">
        <v>423</v>
      </c>
      <c r="E43" s="24" t="n">
        <v>334</v>
      </c>
      <c r="F43" s="5" t="inlineStr"/>
      <c r="G43" s="5" t="inlineStr"/>
      <c r="H43" s="5" t="inlineStr"/>
      <c r="I43" s="5" t="inlineStr"/>
    </row>
    <row r="44">
      <c r="A44" s="5" t="inlineStr">
        <is>
          <t>Full core team (3,000u stage)</t>
        </is>
      </c>
      <c r="B44" s="6" t="n">
        <v>86083</v>
      </c>
      <c r="C44" s="24" t="n">
        <v>1219</v>
      </c>
      <c r="D44" s="24" t="n">
        <v>1148</v>
      </c>
      <c r="E44" s="24" t="n">
        <v>906</v>
      </c>
      <c r="F44" s="5" t="inlineStr"/>
      <c r="G44" s="5" t="inlineStr"/>
      <c r="H44" s="5" t="inlineStr"/>
      <c r="I44" s="5" t="inlineStr"/>
    </row>
    <row r="47">
      <c r="A47" s="3" t="inlineStr">
        <is>
          <t>E. Blended-ARPU sensitivity by tier mix</t>
        </is>
      </c>
    </row>
    <row r="48">
      <c r="A48" s="4" t="inlineStr">
        <is>
          <t>Mix scenario</t>
        </is>
      </c>
      <c r="B48" s="4" t="inlineStr">
        <is>
          <t>Solo %</t>
        </is>
      </c>
      <c r="C48" s="4" t="inlineStr">
        <is>
          <t>Standard %</t>
        </is>
      </c>
      <c r="D48" s="4" t="inlineStr">
        <is>
          <t>Pro %</t>
        </is>
      </c>
      <c r="E48" s="4" t="inlineStr">
        <is>
          <t>Ent %</t>
        </is>
      </c>
      <c r="F48" s="4" t="inlineStr">
        <is>
          <t>Blended ARPU</t>
        </is>
      </c>
      <c r="G48" s="4" t="inlineStr">
        <is>
          <t>MRR @ 1,500u</t>
        </is>
      </c>
      <c r="H48" s="4" t="inlineStr"/>
      <c r="I48" s="4" t="inlineStr"/>
    </row>
    <row r="49">
      <c r="A49" s="5" t="inlineStr">
        <is>
          <t>Solo-heavy (Freemium bleed)</t>
        </is>
      </c>
      <c r="B49" s="7" t="n">
        <v>0.6</v>
      </c>
      <c r="C49" s="7" t="n">
        <v>0.3</v>
      </c>
      <c r="D49" s="7" t="n">
        <v>0.08</v>
      </c>
      <c r="E49" s="7" t="n">
        <v>0.02</v>
      </c>
      <c r="F49" s="8" t="n">
        <v>55.88</v>
      </c>
      <c r="G49" s="6" t="n">
        <v>83820</v>
      </c>
      <c r="H49" s="5" t="inlineStr"/>
      <c r="I49" s="5" t="inlineStr"/>
    </row>
    <row r="50">
      <c r="A50" s="5" t="inlineStr">
        <is>
          <t>Baseline (current plan)</t>
        </is>
      </c>
      <c r="B50" s="7" t="n">
        <v>0.4</v>
      </c>
      <c r="C50" s="7" t="n">
        <v>0.35</v>
      </c>
      <c r="D50" s="7" t="n">
        <v>0.15</v>
      </c>
      <c r="E50" s="7" t="n">
        <v>0.1</v>
      </c>
      <c r="F50" s="8" t="n">
        <v>70.60000000000001</v>
      </c>
      <c r="G50" s="6" t="n">
        <v>105900</v>
      </c>
      <c r="H50" s="5" t="inlineStr"/>
      <c r="I50" s="5" t="inlineStr"/>
    </row>
    <row r="51">
      <c r="A51" s="5" t="inlineStr">
        <is>
          <t>Enterprise-tilted</t>
        </is>
      </c>
      <c r="B51" s="7" t="n">
        <v>0.2</v>
      </c>
      <c r="C51" s="7" t="n">
        <v>0.3</v>
      </c>
      <c r="D51" s="7" t="n">
        <v>0.25</v>
      </c>
      <c r="E51" s="7" t="n">
        <v>0.25</v>
      </c>
      <c r="F51" s="8" t="n">
        <v>91.09999999999999</v>
      </c>
      <c r="G51" s="6" t="n">
        <v>136650</v>
      </c>
      <c r="H51" s="5" t="inlineStr"/>
      <c r="I51" s="5" t="inlineStr"/>
    </row>
    <row r="52">
      <c r="A52" s="5" t="inlineStr">
        <is>
          <t>Enterprise-heavy (Partners)</t>
        </is>
      </c>
      <c r="B52" s="7" t="n">
        <v>0.1</v>
      </c>
      <c r="C52" s="7" t="n">
        <v>0.25</v>
      </c>
      <c r="D52" s="7" t="n">
        <v>0.3</v>
      </c>
      <c r="E52" s="7" t="n">
        <v>0.35</v>
      </c>
      <c r="F52" s="8" t="n">
        <v>103.2</v>
      </c>
      <c r="G52" s="6" t="n">
        <v>154800</v>
      </c>
      <c r="H52" s="5" t="inlineStr"/>
      <c r="I52" s="5" t="inlineStr"/>
    </row>
    <row r="55">
      <c r="A55" s="13" t="inlineStr">
        <is>
          <t>Takeaway: infra-only margin stays ~87-89% through the whole ramp. All-in margin dips to ~49% at 1,500u (post-Platform-Eng hire) and ~44% at 3,000u as the core team fills out, then rebounds to ~63% at 5,000u once revenue outpaces headcount. This is the classic SaaS S-curve — the pitch is: infra margin proves the model, all-in margin proves you can operate it.</t>
        </is>
      </c>
    </row>
  </sheetData>
  <mergeCells count="8">
    <mergeCell ref="A15:I15"/>
    <mergeCell ref="A2:I2"/>
    <mergeCell ref="A47:I47"/>
    <mergeCell ref="A37:I37"/>
    <mergeCell ref="A1:I1"/>
    <mergeCell ref="A55:I55"/>
    <mergeCell ref="A4:I4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Outsource &amp; Hire Timeline — what, when, why</t>
        </is>
      </c>
    </row>
    <row r="2">
      <c r="A2" s="2" t="inlineStr">
        <is>
          <t>Chronological plan tied to user milestones. Each row shows the trigger (users or MRR), monthly cost impact, cumulative team spend, and the MRR available at that point.</t>
        </is>
      </c>
    </row>
    <row r="4">
      <c r="A4" s="3" t="inlineStr">
        <is>
          <t>A. IMMEDIATE — active or start within 30 days</t>
        </is>
      </c>
    </row>
    <row r="5">
      <c r="A5" s="4" t="inlineStr">
        <is>
          <t>Engagement</t>
        </is>
      </c>
      <c r="B5" s="4" t="inlineStr">
        <is>
          <t>Type</t>
        </is>
      </c>
      <c r="C5" s="4" t="inlineStr">
        <is>
          <t>Monthly cost</t>
        </is>
      </c>
      <c r="D5" s="4" t="inlineStr">
        <is>
          <t>Trigger</t>
        </is>
      </c>
      <c r="E5" s="4" t="inlineStr">
        <is>
          <t>Users at trigger</t>
        </is>
      </c>
      <c r="F5" s="4" t="inlineStr">
        <is>
          <t>MRR at trigger</t>
        </is>
      </c>
      <c r="G5" s="4" t="inlineStr">
        <is>
          <t>Notes</t>
        </is>
      </c>
    </row>
    <row r="6">
      <c r="A6" s="5" t="inlineStr">
        <is>
          <t>Emergent contract dev (current)</t>
        </is>
      </c>
      <c r="B6" s="5" t="inlineStr">
        <is>
          <t>Outsource</t>
        </is>
      </c>
      <c r="C6" s="6" t="n">
        <v>3000</v>
      </c>
      <c r="D6" s="5" t="inlineStr">
        <is>
          <t>Active today</t>
        </is>
      </c>
      <c r="E6" s="24" t="n">
        <v>0</v>
      </c>
      <c r="F6" s="6" t="n">
        <v>0</v>
      </c>
      <c r="G6" s="5" t="inlineStr">
        <is>
          <t>Extra hands during heavy build; scales up to $8k/mo as needed</t>
        </is>
      </c>
    </row>
    <row r="7">
      <c r="A7" s="5" t="inlineStr">
        <is>
          <t>Fractional QA engineer</t>
        </is>
      </c>
      <c r="B7" s="5" t="inlineStr">
        <is>
          <t>Outsource</t>
        </is>
      </c>
      <c r="C7" s="6" t="n">
        <v>1500</v>
      </c>
      <c r="D7" s="5" t="inlineStr">
        <is>
          <t>Post-launch</t>
        </is>
      </c>
      <c r="E7" s="24" t="n">
        <v>50</v>
      </c>
      <c r="F7" s="6" t="n">
        <v>3530</v>
      </c>
      <c r="G7" s="5" t="inlineStr">
        <is>
          <t>Playwright smoke suite once users hit the app</t>
        </is>
      </c>
    </row>
    <row r="8">
      <c r="A8" s="5" t="inlineStr">
        <is>
          <t>Cybersecurity vendor SaaS (Snyk, Doppler, Cloudflare Zero Trust)</t>
        </is>
      </c>
      <c r="B8" s="5" t="inlineStr">
        <is>
          <t>SaaS</t>
        </is>
      </c>
      <c r="C8" s="6" t="n">
        <v>100</v>
      </c>
      <c r="D8" s="5" t="inlineStr">
        <is>
          <t>Day 1</t>
        </is>
      </c>
      <c r="E8" s="24" t="n">
        <v>0</v>
      </c>
      <c r="F8" s="6" t="n">
        <v>0</v>
      </c>
      <c r="G8" s="5" t="inlineStr">
        <is>
          <t>Not a person — set up before first paying user</t>
        </is>
      </c>
    </row>
    <row r="11">
      <c r="A11" s="3" t="inlineStr">
        <is>
          <t>B. GROWTH STAGE — 250 to 1,500 users</t>
        </is>
      </c>
    </row>
    <row r="12">
      <c r="A12" s="4" t="inlineStr">
        <is>
          <t>Engagement</t>
        </is>
      </c>
      <c r="B12" s="4" t="inlineStr">
        <is>
          <t>Type</t>
        </is>
      </c>
      <c r="C12" s="4" t="inlineStr">
        <is>
          <t>Monthly cost</t>
        </is>
      </c>
      <c r="D12" s="4" t="inlineStr">
        <is>
          <t>Trigger</t>
        </is>
      </c>
      <c r="E12" s="4" t="inlineStr">
        <is>
          <t>Users at trigger</t>
        </is>
      </c>
      <c r="F12" s="4" t="inlineStr">
        <is>
          <t>MRR at trigger</t>
        </is>
      </c>
      <c r="G12" s="4" t="inlineStr">
        <is>
          <t>Notes</t>
        </is>
      </c>
    </row>
    <row r="13">
      <c r="A13" s="5" t="inlineStr">
        <is>
          <t>Fractional Platform / DevOps engineer</t>
        </is>
      </c>
      <c r="B13" s="5" t="inlineStr">
        <is>
          <t>Outsource</t>
        </is>
      </c>
      <c r="C13" s="6" t="n">
        <v>3500</v>
      </c>
      <c r="D13" s="5" t="inlineStr">
        <is>
          <t>1,000 users</t>
        </is>
      </c>
      <c r="E13" s="24" t="n">
        <v>1000</v>
      </c>
      <c r="F13" s="6" t="n">
        <v>70600</v>
      </c>
      <c r="G13" s="5" t="inlineStr">
        <is>
          <t>SRE, IaC, cost tuning; keep until Platform FTE hired</t>
        </is>
      </c>
    </row>
    <row r="14">
      <c r="A14" s="5" t="inlineStr">
        <is>
          <t>Sr Full-Stack Eng #1 (FTE)</t>
        </is>
      </c>
      <c r="B14" s="5" t="inlineStr">
        <is>
          <t>FTE</t>
        </is>
      </c>
      <c r="C14" s="6" t="n">
        <v>16250</v>
      </c>
      <c r="D14" s="5" t="inlineStr">
        <is>
          <t>$25k MRR OR UK launch</t>
        </is>
      </c>
      <c r="E14" s="24" t="n">
        <v>355</v>
      </c>
      <c r="F14" s="6" t="n">
        <v>25063</v>
      </c>
      <c r="G14" s="5" t="inlineStr">
        <is>
          <t>Second permanent code owner — kills bus factor</t>
        </is>
      </c>
    </row>
    <row r="15">
      <c r="A15" s="5" t="inlineStr">
        <is>
          <t>Fractional Security engineer</t>
        </is>
      </c>
      <c r="B15" s="5" t="inlineStr">
        <is>
          <t>Outsource</t>
        </is>
      </c>
      <c r="C15" s="6" t="n">
        <v>4000</v>
      </c>
      <c r="D15" s="5" t="inlineStr">
        <is>
          <t>SOC 2 kickoff / 1,000 users</t>
        </is>
      </c>
      <c r="E15" s="24" t="n">
        <v>1000</v>
      </c>
      <c r="F15" s="6" t="n">
        <v>70600</v>
      </c>
      <c r="G15" s="5" t="inlineStr">
        <is>
          <t>Threat model, IAM review, SIEM tuning, IR playbooks</t>
        </is>
      </c>
    </row>
    <row r="16">
      <c r="A16" s="5" t="inlineStr">
        <is>
          <t>Annual pen-test (amortised)</t>
        </is>
      </c>
      <c r="B16" s="5" t="inlineStr">
        <is>
          <t>Outsource</t>
        </is>
      </c>
      <c r="C16" s="6" t="n">
        <v>750</v>
      </c>
      <c r="D16" s="5" t="inlineStr">
        <is>
          <t>SOC 2 Type I readiness (1,500u)</t>
        </is>
      </c>
      <c r="E16" s="24" t="n">
        <v>1500</v>
      </c>
      <c r="F16" s="6" t="n">
        <v>105900</v>
      </c>
      <c r="G16" s="5" t="inlineStr">
        <is>
          <t>$6-12k one-shot; required for SOC 2</t>
        </is>
      </c>
    </row>
    <row r="17">
      <c r="A17" s="5" t="inlineStr">
        <is>
          <t>HackerOne / Intigriti bug bounty program</t>
        </is>
      </c>
      <c r="B17" s="5" t="inlineStr">
        <is>
          <t>Outsource</t>
        </is>
      </c>
      <c r="C17" s="6" t="n">
        <v>1300</v>
      </c>
      <c r="D17" s="5" t="inlineStr">
        <is>
          <t>1,500 users</t>
        </is>
      </c>
      <c r="E17" s="24" t="n">
        <v>1500</v>
      </c>
      <c r="F17" s="6" t="n">
        <v>105900</v>
      </c>
      <c r="G17" s="5" t="inlineStr">
        <is>
          <t>Platform fee + budgeted bounty pool</t>
        </is>
      </c>
    </row>
    <row r="18">
      <c r="A18" s="5" t="inlineStr">
        <is>
          <t>Platform / DevOps Eng (FTE)</t>
        </is>
      </c>
      <c r="B18" s="5" t="inlineStr">
        <is>
          <t>FTE</t>
        </is>
      </c>
      <c r="C18" s="6" t="n">
        <v>17500</v>
      </c>
      <c r="D18" s="5" t="inlineStr">
        <is>
          <t>1,500 users OR SOC 2 Type II</t>
        </is>
      </c>
      <c r="E18" s="24" t="n">
        <v>1500</v>
      </c>
      <c r="F18" s="6" t="n">
        <v>105900</v>
      </c>
      <c r="G18" s="5" t="inlineStr">
        <is>
          <t>Convert fractional to FTE; on-call ownership</t>
        </is>
      </c>
    </row>
    <row r="21">
      <c r="A21" s="3" t="inlineStr">
        <is>
          <t>C. SCALE STAGE — 1,500 to 5,000 users</t>
        </is>
      </c>
    </row>
    <row r="22">
      <c r="A22" s="4" t="inlineStr">
        <is>
          <t>Engagement</t>
        </is>
      </c>
      <c r="B22" s="4" t="inlineStr">
        <is>
          <t>Type</t>
        </is>
      </c>
      <c r="C22" s="4" t="inlineStr">
        <is>
          <t>Monthly cost</t>
        </is>
      </c>
      <c r="D22" s="4" t="inlineStr">
        <is>
          <t>Trigger</t>
        </is>
      </c>
      <c r="E22" s="4" t="inlineStr">
        <is>
          <t>Users at trigger</t>
        </is>
      </c>
      <c r="F22" s="4" t="inlineStr">
        <is>
          <t>MRR at trigger</t>
        </is>
      </c>
      <c r="G22" s="4" t="inlineStr">
        <is>
          <t>Notes</t>
        </is>
      </c>
    </row>
    <row r="23">
      <c r="A23" s="5" t="inlineStr">
        <is>
          <t>Fractional Data / Analytics engineer</t>
        </is>
      </c>
      <c r="B23" s="5" t="inlineStr">
        <is>
          <t>Outsource</t>
        </is>
      </c>
      <c r="C23" s="6" t="n">
        <v>3000</v>
      </c>
      <c r="D23" s="5" t="inlineStr">
        <is>
          <t>1,500 users</t>
        </is>
      </c>
      <c r="E23" s="24" t="n">
        <v>1500</v>
      </c>
      <c r="F23" s="6" t="n">
        <v>105900</v>
      </c>
      <c r="G23" s="5" t="inlineStr">
        <is>
          <t>Feature analytics, categorisation ML, churn model</t>
        </is>
      </c>
    </row>
    <row r="24">
      <c r="A24" s="5" t="inlineStr">
        <is>
          <t>Fractional Product Designer</t>
        </is>
      </c>
      <c r="B24" s="5" t="inlineStr">
        <is>
          <t>Outsource</t>
        </is>
      </c>
      <c r="C24" s="6" t="n">
        <v>2500</v>
      </c>
      <c r="D24" s="5" t="inlineStr">
        <is>
          <t>Marketing site + brand refresh</t>
        </is>
      </c>
      <c r="E24" s="24" t="n">
        <v>1000</v>
      </c>
      <c r="F24" s="6" t="n">
        <v>70600</v>
      </c>
      <c r="G24" s="5" t="inlineStr">
        <is>
          <t>Design system + marketing site + pitch materials</t>
        </is>
      </c>
    </row>
    <row r="25">
      <c r="A25" s="5" t="inlineStr">
        <is>
          <t>Incident Response retainer (Kroll / Mandiant)</t>
        </is>
      </c>
      <c r="B25" s="5" t="inlineStr">
        <is>
          <t>Outsource</t>
        </is>
      </c>
      <c r="C25" s="6" t="n">
        <v>600</v>
      </c>
      <c r="D25" s="5" t="inlineStr">
        <is>
          <t>1,500 users</t>
        </is>
      </c>
      <c r="E25" s="24" t="n">
        <v>1500</v>
      </c>
      <c r="F25" s="6" t="n">
        <v>105900</v>
      </c>
      <c r="G25" s="5" t="inlineStr">
        <is>
          <t>Pre-paid breach response hours</t>
        </is>
      </c>
    </row>
    <row r="26">
      <c r="A26" s="5" t="inlineStr">
        <is>
          <t>Sr Full-Stack Eng #2 (FTE)</t>
        </is>
      </c>
      <c r="B26" s="5" t="inlineStr">
        <is>
          <t>FTE</t>
        </is>
      </c>
      <c r="C26" s="6" t="n">
        <v>16250</v>
      </c>
      <c r="D26" s="5" t="inlineStr">
        <is>
          <t>3,000 users OR $60k MRR</t>
        </is>
      </c>
      <c r="E26" s="24" t="n">
        <v>850</v>
      </c>
      <c r="F26" s="6" t="n">
        <v>60010</v>
      </c>
      <c r="G26" s="5" t="inlineStr">
        <is>
          <t>Split frontend/backend; on-call rotation</t>
        </is>
      </c>
    </row>
    <row r="27">
      <c r="A27" s="5" t="inlineStr">
        <is>
          <t>Security Engineer (FTE)</t>
        </is>
      </c>
      <c r="B27" s="5" t="inlineStr">
        <is>
          <t>FTE</t>
        </is>
      </c>
      <c r="C27" s="6" t="n">
        <v>18333</v>
      </c>
      <c r="D27" s="5" t="inlineStr">
        <is>
          <t>SOC 2 Type II + first enterprise deal</t>
        </is>
      </c>
      <c r="E27" s="24" t="n">
        <v>3000</v>
      </c>
      <c r="F27" s="6" t="n">
        <v>211800</v>
      </c>
      <c r="G27" s="5" t="inlineStr">
        <is>
          <t>Full-time threat model, IR ownership, SSO reviews</t>
        </is>
      </c>
    </row>
    <row r="28">
      <c r="A28" s="5" t="inlineStr">
        <is>
          <t>QA / Test Automation Lead (FTE)</t>
        </is>
      </c>
      <c r="B28" s="5" t="inlineStr">
        <is>
          <t>FTE</t>
        </is>
      </c>
      <c r="C28" s="6" t="n">
        <v>13750</v>
      </c>
      <c r="D28" s="5" t="inlineStr">
        <is>
          <t>3,000 users</t>
        </is>
      </c>
      <c r="E28" s="24" t="n">
        <v>3000</v>
      </c>
      <c r="F28" s="6" t="n">
        <v>211800</v>
      </c>
      <c r="G28" s="5" t="inlineStr">
        <is>
          <t>Convert fractional QA; Playwright + performance suites</t>
        </is>
      </c>
    </row>
    <row r="31">
      <c r="A31" s="3" t="inlineStr">
        <is>
          <t>D. Cumulative team cost at each milestone</t>
        </is>
      </c>
    </row>
    <row r="32">
      <c r="A32" s="4" t="inlineStr">
        <is>
          <t>Milestone</t>
        </is>
      </c>
      <c r="B32" s="4" t="inlineStr">
        <is>
          <t>Outsource /mo</t>
        </is>
      </c>
      <c r="C32" s="4" t="inlineStr">
        <is>
          <t>FTEs on payroll</t>
        </is>
      </c>
      <c r="D32" s="4" t="inlineStr">
        <is>
          <t>FTE /mo</t>
        </is>
      </c>
      <c r="E32" s="4" t="inlineStr">
        <is>
          <t>Team total /mo</t>
        </is>
      </c>
      <c r="F32" s="4" t="inlineStr">
        <is>
          <t>MRR at milestone</t>
        </is>
      </c>
      <c r="G32" s="4" t="inlineStr">
        <is>
          <t>Team % of MRR</t>
        </is>
      </c>
    </row>
    <row r="33">
      <c r="A33" s="5" t="inlineStr">
        <is>
          <t>100 users</t>
        </is>
      </c>
      <c r="B33" s="6" t="n">
        <v>3000</v>
      </c>
      <c r="C33" s="5" t="inlineStr">
        <is>
          <t>—</t>
        </is>
      </c>
      <c r="D33" s="6" t="n">
        <v>0</v>
      </c>
      <c r="E33" s="6" t="n">
        <v>3000</v>
      </c>
      <c r="F33" s="6" t="n">
        <v>7060.000000000001</v>
      </c>
      <c r="G33" s="12" t="n">
        <v>0.4249291784702549</v>
      </c>
    </row>
    <row r="34">
      <c r="A34" s="5" t="inlineStr">
        <is>
          <t>250 users</t>
        </is>
      </c>
      <c r="B34" s="6" t="n">
        <v>4000</v>
      </c>
      <c r="C34" s="5" t="inlineStr">
        <is>
          <t>—</t>
        </is>
      </c>
      <c r="D34" s="6" t="n">
        <v>0</v>
      </c>
      <c r="E34" s="6" t="n">
        <v>4000</v>
      </c>
      <c r="F34" s="6" t="n">
        <v>17650</v>
      </c>
      <c r="G34" s="12" t="n">
        <v>0.2266288951841359</v>
      </c>
    </row>
    <row r="35">
      <c r="A35" s="5" t="inlineStr">
        <is>
          <t>500 users</t>
        </is>
      </c>
      <c r="B35" s="6" t="n">
        <v>6000</v>
      </c>
      <c r="C35" s="5" t="inlineStr">
        <is>
          <t>—</t>
        </is>
      </c>
      <c r="D35" s="6" t="n">
        <v>0</v>
      </c>
      <c r="E35" s="6" t="n">
        <v>6000</v>
      </c>
      <c r="F35" s="6" t="n">
        <v>35300.00000000001</v>
      </c>
      <c r="G35" s="12" t="n">
        <v>0.169971671388102</v>
      </c>
    </row>
    <row r="36">
      <c r="A36" s="5" t="inlineStr">
        <is>
          <t>1000 users</t>
        </is>
      </c>
      <c r="B36" s="6" t="n">
        <v>7000</v>
      </c>
      <c r="C36" s="5" t="inlineStr">
        <is>
          <t>Sr SWE #1</t>
        </is>
      </c>
      <c r="D36" s="6" t="n">
        <v>16250</v>
      </c>
      <c r="E36" s="6" t="n">
        <v>23250</v>
      </c>
      <c r="F36" s="6" t="n">
        <v>70600.00000000001</v>
      </c>
      <c r="G36" s="12" t="n">
        <v>0.3293201133144475</v>
      </c>
    </row>
    <row r="37">
      <c r="A37" s="5" t="inlineStr">
        <is>
          <t>1500 users</t>
        </is>
      </c>
      <c r="B37" s="6" t="n">
        <v>9000</v>
      </c>
      <c r="C37" s="5" t="inlineStr">
        <is>
          <t>Sr SWE #1, Platform Eng</t>
        </is>
      </c>
      <c r="D37" s="6" t="n">
        <v>33750</v>
      </c>
      <c r="E37" s="6" t="n">
        <v>42750</v>
      </c>
      <c r="F37" s="6" t="n">
        <v>105900</v>
      </c>
      <c r="G37" s="12" t="n">
        <v>0.4036827195467422</v>
      </c>
    </row>
    <row r="38">
      <c r="A38" s="5" t="inlineStr">
        <is>
          <t>3000 users</t>
        </is>
      </c>
      <c r="B38" s="6" t="n">
        <v>10000</v>
      </c>
      <c r="C38" s="5" t="inlineStr">
        <is>
          <t>Sr SWE #1, Sr SWE #2, Platform Eng, Security Eng, QA Lead</t>
        </is>
      </c>
      <c r="D38" s="6" t="n">
        <v>82083.33333333333</v>
      </c>
      <c r="E38" s="6" t="n">
        <v>92083.33333333333</v>
      </c>
      <c r="F38" s="6" t="n">
        <v>211800</v>
      </c>
      <c r="G38" s="12" t="n">
        <v>0.4347655020459552</v>
      </c>
    </row>
    <row r="39">
      <c r="A39" s="5" t="inlineStr">
        <is>
          <t>5000 users</t>
        </is>
      </c>
      <c r="B39" s="6" t="n">
        <v>8000</v>
      </c>
      <c r="C39" s="5" t="inlineStr">
        <is>
          <t>Sr SWE #1, Sr SWE #2, Platform Eng, Security Eng, QA Lead</t>
        </is>
      </c>
      <c r="D39" s="6" t="n">
        <v>82083.33333333333</v>
      </c>
      <c r="E39" s="6" t="n">
        <v>90083.33333333333</v>
      </c>
      <c r="F39" s="6" t="n">
        <v>353000.0000000001</v>
      </c>
      <c r="G39" s="12" t="n">
        <v>0.2551935788479697</v>
      </c>
    </row>
    <row r="42">
      <c r="A42" s="3" t="inlineStr">
        <is>
          <t>E. Decision rules</t>
        </is>
      </c>
    </row>
    <row r="43">
      <c r="A43" s="31" t="inlineStr">
        <is>
          <t>• Rule of thumb: total team cost should stay below 50% of MRR at every milestone. First FTE breaks this rule intentionally — it's the classic S-curve dip.</t>
        </is>
      </c>
    </row>
    <row r="44">
      <c r="A44" s="31" t="inlineStr">
        <is>
          <t>• Never hire a FTE for something a fractional does &lt;20 hrs/week. Wait until the role is genuinely full-time.</t>
        </is>
      </c>
    </row>
    <row r="45">
      <c r="A45" s="31" t="inlineStr">
        <is>
          <t>• Prefer converting a fractional to FTE only after 3+ months working together. That's the cheapest de-risked hire path.</t>
        </is>
      </c>
    </row>
    <row r="46">
      <c r="A46" s="31" t="inlineStr">
        <is>
          <t>• Every outsource line above has a SaaS or automation alternative — try that first for one quarter (Snyk instead of security consultant, GitHub Actions instead of DevOps).</t>
        </is>
      </c>
    </row>
    <row r="47">
      <c r="A47" s="31" t="inlineStr">
        <is>
          <t>• Delay Security FTE until first enterprise deal is signed; before that, fractional + SaaS covers 90%.</t>
        </is>
      </c>
    </row>
    <row r="48">
      <c r="A48" s="31" t="inlineStr">
        <is>
          <t>• Emergent contract dev is functionally the cheapest fractional SWE on market — use it until $25k MRR before hiring FTE #1.</t>
        </is>
      </c>
    </row>
  </sheetData>
  <mergeCells count="13">
    <mergeCell ref="A44:G44"/>
    <mergeCell ref="A1:G1"/>
    <mergeCell ref="A45:G45"/>
    <mergeCell ref="A31:G31"/>
    <mergeCell ref="A21:G21"/>
    <mergeCell ref="A4:G4"/>
    <mergeCell ref="A48:G48"/>
    <mergeCell ref="A2:G2"/>
    <mergeCell ref="A43:G43"/>
    <mergeCell ref="A11:G11"/>
    <mergeCell ref="A47:G47"/>
    <mergeCell ref="A42:G42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2026-08-18T11:53:21Z</dcterms:created>
  <dcterms:modified xsi:type="dcterms:W3CDTF">2026-08-18T11:53:21Z</dcterms:modified>
</cp:coreProperties>
</file>