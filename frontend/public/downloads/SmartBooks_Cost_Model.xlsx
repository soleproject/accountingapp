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. Summary Dashboard" sheetId="1" state="visible" r:id="rId1"/>
    <sheet name="2. Master Costs" sheetId="2" state="visible" r:id="rId2"/>
    <sheet name="3. AI Deep Dive" sheetId="3" state="visible" r:id="rId3"/>
    <sheet name="4. Compliance" sheetId="4" state="visible" r:id="rId4"/>
    <sheet name="5. Unit Economic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&quot;$&quot;#,##0"/>
    <numFmt numFmtId="165" formatCode="&quot;$&quot;#,##0&quot;/user&quot;"/>
    <numFmt numFmtId="166" formatCode="&quot;$&quot;#,##0.00"/>
    <numFmt numFmtId="167" formatCode="&quot;$&quot;0.0000"/>
    <numFmt numFmtId="168" formatCode="0.0%"/>
  </numFmts>
  <fonts count="12">
    <font>
      <name val="Calibri"/>
      <family val="2"/>
      <color theme="1"/>
      <sz val="11"/>
      <scheme val="minor"/>
    </font>
    <font>
      <b val="1"/>
      <color rgb="000F172A"/>
      <sz val="16"/>
    </font>
    <font>
      <i val="1"/>
      <color rgb="0064748B"/>
      <sz val="10"/>
    </font>
    <font>
      <b val="1"/>
      <color rgb="00FFFFFF"/>
      <sz val="11"/>
    </font>
    <font>
      <b val="1"/>
    </font>
    <font>
      <b val="1"/>
      <color rgb="003730A3"/>
      <sz val="11"/>
    </font>
    <font>
      <b val="1"/>
      <color rgb="000F172A"/>
      <sz val="10"/>
    </font>
    <font>
      <b val="1"/>
      <color rgb="000F172A"/>
      <sz val="14"/>
    </font>
    <font>
      <b val="1"/>
      <color rgb="000F172A"/>
    </font>
    <font>
      <b val="1"/>
      <color rgb="00B91C1C"/>
    </font>
    <font>
      <color rgb="00047857"/>
    </font>
    <font>
      <b val="1"/>
      <color rgb="00047857"/>
    </font>
  </fonts>
  <fills count="6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EF2FF"/>
      </patternFill>
    </fill>
    <fill>
      <patternFill patternType="solid">
        <fgColor rgb="00F1F5F9"/>
      </patternFill>
    </fill>
    <fill>
      <patternFill patternType="solid">
        <fgColor rgb="000F172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5" fillId="3" borderId="0" pivotButton="0" quotePrefix="0" xfId="0"/>
    <xf numFmtId="0" fontId="0" fillId="0" borderId="0" applyAlignment="1" pivotButton="0" quotePrefix="0" xfId="0">
      <alignment vertical="top" wrapText="1"/>
    </xf>
    <xf numFmtId="0" fontId="6" fillId="4" borderId="0" pivotButton="0" quotePrefix="0" xfId="0"/>
    <xf numFmtId="0" fontId="3" fillId="5" borderId="0" pivotButton="0" quotePrefix="0" xfId="0"/>
    <xf numFmtId="164" fontId="3" fillId="5" borderId="0" pivotButton="0" quotePrefix="0" xfId="0"/>
    <xf numFmtId="0" fontId="7" fillId="0" borderId="0" pivotButton="0" quotePrefix="0" xfId="0"/>
    <xf numFmtId="0" fontId="8" fillId="4" borderId="0" pivotButton="0" quotePrefix="0" xfId="0"/>
    <xf numFmtId="0" fontId="0" fillId="4" borderId="0" pivotButton="0" quotePrefix="0" xfId="0"/>
    <xf numFmtId="166" fontId="8" fillId="0" borderId="0" pivotButton="0" quotePrefix="0" xfId="0"/>
    <xf numFmtId="167" fontId="0" fillId="0" borderId="0" pivotButton="0" quotePrefix="0" xfId="0"/>
    <xf numFmtId="168" fontId="0" fillId="0" borderId="0" pivotButton="0" quotePrefix="0" xfId="0"/>
    <xf numFmtId="3" fontId="0" fillId="0" borderId="0" pivotButton="0" quotePrefix="0" xfId="0"/>
    <xf numFmtId="166" fontId="0" fillId="0" borderId="0" pivotButton="0" quotePrefix="0" xfId="0"/>
    <xf numFmtId="164" fontId="9" fillId="0" borderId="0" pivotButton="0" quotePrefix="0" xfId="0"/>
    <xf numFmtId="168" fontId="10" fillId="0" borderId="0" pivotButton="0" quotePrefix="0" xfId="0"/>
    <xf numFmtId="168" fontId="3" fillId="5" borderId="0" pivotButton="0" quotePrefix="0" xfId="0"/>
    <xf numFmtId="0" fontId="11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SmartBooks — Scaling Cost Model (Feb 2026)</t>
        </is>
      </c>
    </row>
    <row r="3">
      <c r="A3" s="2" t="inlineStr">
        <is>
          <t>Investor pitch: unit economics at every scale tier</t>
        </is>
      </c>
    </row>
    <row r="5">
      <c r="A5" s="3" t="inlineStr">
        <is>
          <t>Tier</t>
        </is>
      </c>
      <c r="B5" s="3" t="inlineStr">
        <is>
          <t>All-in cost/mo (low)</t>
        </is>
      </c>
      <c r="C5" s="3" t="inlineStr">
        <is>
          <t>All-in cost/mo (high)</t>
        </is>
      </c>
      <c r="D5" s="3" t="inlineStr">
        <is>
          <t>Break-even ARPU (2x)</t>
        </is>
      </c>
      <c r="E5" s="3" t="inlineStr">
        <is>
          <t>Comfortable ARPU (4x)</t>
        </is>
      </c>
    </row>
    <row r="6">
      <c r="A6" s="4" t="inlineStr">
        <is>
          <t>500 users</t>
        </is>
      </c>
      <c r="B6" s="5" t="n">
        <v>2600</v>
      </c>
      <c r="C6" s="5" t="n">
        <v>5735</v>
      </c>
      <c r="D6" s="6" t="n">
        <v>12</v>
      </c>
      <c r="E6" s="6" t="n">
        <v>25</v>
      </c>
    </row>
    <row r="7">
      <c r="A7" s="4" t="inlineStr">
        <is>
          <t>1,500 users</t>
        </is>
      </c>
      <c r="B7" s="5" t="n">
        <v>7355</v>
      </c>
      <c r="C7" s="5" t="n">
        <v>15290</v>
      </c>
      <c r="D7" s="6" t="n">
        <v>10</v>
      </c>
      <c r="E7" s="6" t="n">
        <v>20</v>
      </c>
    </row>
    <row r="8">
      <c r="A8" s="4" t="inlineStr">
        <is>
          <t>3,000 users</t>
        </is>
      </c>
      <c r="B8" s="5" t="n">
        <v>18130</v>
      </c>
      <c r="C8" s="5" t="n">
        <v>35090</v>
      </c>
      <c r="D8" s="6" t="n">
        <v>12</v>
      </c>
      <c r="E8" s="6" t="n">
        <v>24</v>
      </c>
    </row>
    <row r="11">
      <c r="A11" s="7" t="inlineStr">
        <is>
          <t>KEY TAKEAWAY</t>
        </is>
      </c>
    </row>
    <row r="12" ht="32" customHeight="1">
      <c r="A12" s="8" t="inlineStr">
        <is>
          <t>At $30-50/user/mo (below QBO/Xero pricing), SmartBooks clears healthy SaaS margins at every tier. Per-user cost stays flat (~$4-8) because AI + Plaid scale linearly while infra base amortises across more users.</t>
        </is>
      </c>
    </row>
    <row r="13"/>
    <row r="15">
      <c r="A15" s="9" t="inlineStr">
        <is>
          <t>COST STACK BY TIER (mid-point, $/mo)</t>
        </is>
      </c>
    </row>
    <row r="16">
      <c r="A16" s="3" t="inlineStr">
        <is>
          <t>Category</t>
        </is>
      </c>
      <c r="B16" s="3" t="inlineStr">
        <is>
          <t>500 users</t>
        </is>
      </c>
      <c r="C16" s="3" t="inlineStr">
        <is>
          <t>1,500 users</t>
        </is>
      </c>
      <c r="D16" s="3" t="inlineStr">
        <is>
          <t>3,000 users</t>
        </is>
      </c>
      <c r="E16" s="3" t="n"/>
    </row>
    <row r="17">
      <c r="A17" t="inlineStr">
        <is>
          <t>Compute + DB</t>
        </is>
      </c>
      <c r="B17" s="5" t="n">
        <v>420</v>
      </c>
      <c r="C17" s="5" t="n">
        <v>1100</v>
      </c>
      <c r="D17" s="5" t="n">
        <v>2450</v>
      </c>
    </row>
    <row r="18">
      <c r="A18" t="inlineStr">
        <is>
          <t>AI + STT</t>
        </is>
      </c>
      <c r="B18" s="5" t="n">
        <v>1540</v>
      </c>
      <c r="C18" s="5" t="n">
        <v>4630</v>
      </c>
      <c r="D18" s="5" t="n">
        <v>9325</v>
      </c>
    </row>
    <row r="19">
      <c r="A19" t="inlineStr">
        <is>
          <t>Plaid + Veryfi + OCR</t>
        </is>
      </c>
      <c r="B19" s="5" t="n">
        <v>425</v>
      </c>
      <c r="C19" s="5" t="n">
        <v>1400</v>
      </c>
      <c r="D19" s="5" t="n">
        <v>3050</v>
      </c>
    </row>
    <row r="20">
      <c r="A20" t="inlineStr">
        <is>
          <t>Monitoring + Sec</t>
        </is>
      </c>
      <c r="B20" s="5" t="n">
        <v>150</v>
      </c>
      <c r="C20" s="5" t="n">
        <v>400</v>
      </c>
      <c r="D20" s="5" t="n">
        <v>950</v>
      </c>
    </row>
    <row r="21">
      <c r="A21" t="inlineStr">
        <is>
          <t>Support + Ops</t>
        </is>
      </c>
      <c r="B21" s="5" t="n">
        <v>180</v>
      </c>
      <c r="C21" s="5" t="n">
        <v>400</v>
      </c>
      <c r="D21" s="5" t="n">
        <v>900</v>
      </c>
    </row>
    <row r="22">
      <c r="A22" t="inlineStr">
        <is>
          <t>Storage + Egress</t>
        </is>
      </c>
      <c r="B22" s="5" t="n">
        <v>65</v>
      </c>
      <c r="C22" s="5" t="n">
        <v>295</v>
      </c>
      <c r="D22" s="5" t="n">
        <v>725</v>
      </c>
    </row>
    <row r="23">
      <c r="A23" t="inlineStr">
        <is>
          <t>Email + Comms</t>
        </is>
      </c>
      <c r="B23" s="5" t="n">
        <v>48</v>
      </c>
      <c r="C23" s="5" t="n">
        <v>135</v>
      </c>
      <c r="D23" s="5" t="n">
        <v>340</v>
      </c>
    </row>
    <row r="24">
      <c r="A24" t="inlineStr">
        <is>
          <t>Compliance amortised</t>
        </is>
      </c>
      <c r="B24" s="5" t="n">
        <v>1325</v>
      </c>
      <c r="C24" s="5" t="n">
        <v>2700</v>
      </c>
      <c r="D24" s="5" t="n">
        <v>7925</v>
      </c>
    </row>
    <row r="25">
      <c r="A25" s="10" t="inlineStr">
        <is>
          <t>TOTAL / MONTH</t>
        </is>
      </c>
      <c r="B25" s="11">
        <f>SUM(B17:B24)</f>
        <v/>
      </c>
      <c r="C25" s="11">
        <f>SUM(C17:C24)</f>
        <v/>
      </c>
      <c r="D25" s="11">
        <f>SUM(D17:D24)</f>
        <v/>
      </c>
      <c r="E25" s="10" t="n"/>
    </row>
  </sheetData>
  <mergeCells count="5">
    <mergeCell ref="A12:E13"/>
    <mergeCell ref="A15:E15"/>
    <mergeCell ref="A11:E11"/>
    <mergeCell ref="A1:E1"/>
    <mergeCell ref="A3:E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0"/>
  <sheetViews>
    <sheetView workbookViewId="0">
      <selection activeCell="A1" sqref="A1"/>
    </sheetView>
  </sheetViews>
  <sheetFormatPr baseColWidth="8" defaultRowHeight="15"/>
  <cols>
    <col width="16" customWidth="1" min="1" max="1"/>
    <col width="4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12" t="inlineStr">
        <is>
          <t>Line-Item Costs by User Tier</t>
        </is>
      </c>
    </row>
    <row r="3">
      <c r="A3" s="3" t="inlineStr">
        <is>
          <t>Category</t>
        </is>
      </c>
      <c r="B3" s="3" t="inlineStr">
        <is>
          <t>Line Item</t>
        </is>
      </c>
      <c r="C3" s="3" t="inlineStr">
        <is>
          <t>500 low</t>
        </is>
      </c>
      <c r="D3" s="3" t="inlineStr">
        <is>
          <t>500 high</t>
        </is>
      </c>
      <c r="E3" s="3" t="inlineStr">
        <is>
          <t>1,500 low</t>
        </is>
      </c>
      <c r="F3" s="3" t="inlineStr">
        <is>
          <t>1,500 high</t>
        </is>
      </c>
      <c r="G3" s="3" t="inlineStr">
        <is>
          <t>3,000 low</t>
        </is>
      </c>
      <c r="H3" s="3" t="inlineStr">
        <is>
          <t>3,000 high</t>
        </is>
      </c>
    </row>
    <row r="4">
      <c r="A4" s="13" t="inlineStr">
        <is>
          <t>Compute</t>
        </is>
      </c>
      <c r="B4" s="14" t="n"/>
      <c r="C4" s="14" t="n"/>
      <c r="D4" s="14" t="n"/>
      <c r="E4" s="14" t="n"/>
      <c r="F4" s="14" t="n"/>
      <c r="G4" s="14" t="n"/>
      <c r="H4" s="14" t="n"/>
    </row>
    <row r="5">
      <c r="A5" t="inlineStr"/>
      <c r="B5" t="inlineStr">
        <is>
          <t>Backend (Railway/Fly, replicas)</t>
        </is>
      </c>
      <c r="C5" s="5" t="n">
        <v>150</v>
      </c>
      <c r="D5" s="5" t="n">
        <v>250</v>
      </c>
      <c r="E5" s="5" t="n">
        <v>400</v>
      </c>
      <c r="F5" s="5" t="n">
        <v>700</v>
      </c>
      <c r="G5" s="5" t="n">
        <v>900</v>
      </c>
      <c r="H5" s="5" t="n">
        <v>1500</v>
      </c>
    </row>
    <row r="6">
      <c r="A6" t="inlineStr"/>
      <c r="B6" t="inlineStr">
        <is>
          <t>Frontend hosting (Vercel/Netlify)</t>
        </is>
      </c>
      <c r="C6" s="5" t="n">
        <v>20</v>
      </c>
      <c r="D6" s="5" t="n">
        <v>40</v>
      </c>
      <c r="E6" s="5" t="n">
        <v>60</v>
      </c>
      <c r="F6" s="5" t="n">
        <v>120</v>
      </c>
      <c r="G6" s="5" t="n">
        <v>150</v>
      </c>
      <c r="H6" s="5" t="n">
        <v>250</v>
      </c>
    </row>
    <row r="7">
      <c r="A7" s="13" t="inlineStr">
        <is>
          <t>Database</t>
        </is>
      </c>
      <c r="B7" s="14" t="n"/>
      <c r="C7" s="14" t="n"/>
      <c r="D7" s="14" t="n"/>
      <c r="E7" s="14" t="n"/>
      <c r="F7" s="14" t="n"/>
      <c r="G7" s="14" t="n"/>
      <c r="H7" s="14" t="n"/>
    </row>
    <row r="8">
      <c r="A8" t="inlineStr"/>
      <c r="B8" t="inlineStr">
        <is>
          <t>MongoDB Atlas dedicated</t>
        </is>
      </c>
      <c r="C8" s="5" t="n">
        <v>180</v>
      </c>
      <c r="D8" s="5" t="n">
        <v>220</v>
      </c>
      <c r="E8" s="5" t="n">
        <v>450</v>
      </c>
      <c r="F8" s="5" t="n">
        <v>550</v>
      </c>
      <c r="G8" s="5" t="n">
        <v>900</v>
      </c>
      <c r="H8" s="5" t="n">
        <v>1300</v>
      </c>
    </row>
    <row r="9">
      <c r="A9" t="inlineStr"/>
      <c r="B9" t="inlineStr">
        <is>
          <t>Redis Cloud (cache + rate-limit)</t>
        </is>
      </c>
      <c r="C9" s="5" t="n">
        <v>30</v>
      </c>
      <c r="D9" s="5" t="n">
        <v>50</v>
      </c>
      <c r="E9" s="5" t="n">
        <v>75</v>
      </c>
      <c r="F9" s="5" t="n">
        <v>120</v>
      </c>
      <c r="G9" s="5" t="n">
        <v>200</v>
      </c>
      <c r="H9" s="5" t="n">
        <v>350</v>
      </c>
    </row>
    <row r="10">
      <c r="A10" t="inlineStr"/>
      <c r="B10" t="inlineStr">
        <is>
          <t>Automated backups + PITR</t>
        </is>
      </c>
      <c r="C10" s="5" t="n">
        <v>20</v>
      </c>
      <c r="D10" s="5" t="n">
        <v>40</v>
      </c>
      <c r="E10" s="5" t="n">
        <v>60</v>
      </c>
      <c r="F10" s="5" t="n">
        <v>100</v>
      </c>
      <c r="G10" s="5" t="n">
        <v>120</v>
      </c>
      <c r="H10" s="5" t="n">
        <v>200</v>
      </c>
    </row>
    <row r="11">
      <c r="A11" s="13" t="inlineStr">
        <is>
          <t>AI</t>
        </is>
      </c>
      <c r="B11" s="14" t="n"/>
      <c r="C11" s="14" t="n"/>
      <c r="D11" s="14" t="n"/>
      <c r="E11" s="14" t="n"/>
      <c r="F11" s="14" t="n"/>
      <c r="G11" s="14" t="n"/>
      <c r="H11" s="14" t="n"/>
    </row>
    <row r="12">
      <c r="A12" t="inlineStr"/>
      <c r="B12" t="inlineStr">
        <is>
          <t>LLM inference (GPT + Claude + Gemini)</t>
        </is>
      </c>
      <c r="C12" s="5" t="n">
        <v>1000</v>
      </c>
      <c r="D12" s="5" t="n">
        <v>2000</v>
      </c>
      <c r="E12" s="5" t="n">
        <v>3000</v>
      </c>
      <c r="F12" s="5" t="n">
        <v>6000</v>
      </c>
      <c r="G12" s="5" t="n">
        <v>6000</v>
      </c>
      <c r="H12" s="5" t="n">
        <v>12000</v>
      </c>
    </row>
    <row r="13">
      <c r="A13" t="inlineStr"/>
      <c r="B13" t="inlineStr">
        <is>
          <t>STT / voice (Whisper)</t>
        </is>
      </c>
      <c r="C13" s="5" t="n">
        <v>20</v>
      </c>
      <c r="D13" s="5" t="n">
        <v>60</v>
      </c>
      <c r="E13" s="5" t="n">
        <v>60</v>
      </c>
      <c r="F13" s="5" t="n">
        <v>200</v>
      </c>
      <c r="G13" s="5" t="n">
        <v>150</v>
      </c>
      <c r="H13" s="5" t="n">
        <v>500</v>
      </c>
    </row>
    <row r="14">
      <c r="A14" s="13" t="inlineStr">
        <is>
          <t>Integrations</t>
        </is>
      </c>
      <c r="B14" s="14" t="n"/>
      <c r="C14" s="14" t="n"/>
      <c r="D14" s="14" t="n"/>
      <c r="E14" s="14" t="n"/>
      <c r="F14" s="14" t="n"/>
      <c r="G14" s="14" t="n"/>
      <c r="H14" s="14" t="n"/>
    </row>
    <row r="15">
      <c r="A15" t="inlineStr"/>
      <c r="B15" t="inlineStr">
        <is>
          <t>Plaid (production)</t>
        </is>
      </c>
      <c r="C15" s="5" t="n">
        <v>150</v>
      </c>
      <c r="D15" s="5" t="n">
        <v>350</v>
      </c>
      <c r="E15" s="5" t="n">
        <v>500</v>
      </c>
      <c r="F15" s="5" t="n">
        <v>1100</v>
      </c>
      <c r="G15" s="5" t="n">
        <v>1100</v>
      </c>
      <c r="H15" s="5" t="n">
        <v>2300</v>
      </c>
    </row>
    <row r="16">
      <c r="A16" t="inlineStr"/>
      <c r="B16" t="inlineStr">
        <is>
          <t>Veryfi OCR</t>
        </is>
      </c>
      <c r="C16" s="5" t="n">
        <v>100</v>
      </c>
      <c r="D16" s="5" t="n">
        <v>250</v>
      </c>
      <c r="E16" s="5" t="n">
        <v>400</v>
      </c>
      <c r="F16" s="5" t="n">
        <v>800</v>
      </c>
      <c r="G16" s="5" t="n">
        <v>900</v>
      </c>
      <c r="H16" s="5" t="n">
        <v>1800</v>
      </c>
    </row>
    <row r="17">
      <c r="A17" t="inlineStr"/>
      <c r="B17" t="inlineStr">
        <is>
          <t>QuickBooks Online (free API)</t>
        </is>
      </c>
      <c r="C17" s="5" t="n">
        <v>0</v>
      </c>
      <c r="D17" s="5" t="n">
        <v>0</v>
      </c>
      <c r="E17" s="5" t="n">
        <v>0</v>
      </c>
      <c r="F17" s="5" t="n">
        <v>0</v>
      </c>
      <c r="G17" s="5" t="n">
        <v>0</v>
      </c>
      <c r="H17" s="5" t="n">
        <v>0</v>
      </c>
    </row>
    <row r="18">
      <c r="A18" t="inlineStr"/>
      <c r="B18" t="inlineStr">
        <is>
          <t>Stripe (processing pass-through)</t>
        </is>
      </c>
      <c r="C18" s="5" t="n">
        <v>0</v>
      </c>
      <c r="D18" s="5" t="n">
        <v>0</v>
      </c>
      <c r="E18" s="5" t="n">
        <v>0</v>
      </c>
      <c r="F18" s="5" t="n">
        <v>0</v>
      </c>
      <c r="G18" s="5" t="n">
        <v>0</v>
      </c>
      <c r="H18" s="5" t="n">
        <v>0</v>
      </c>
    </row>
    <row r="19">
      <c r="A19" s="13" t="inlineStr">
        <is>
          <t>Email/Comms</t>
        </is>
      </c>
      <c r="B19" s="14" t="n"/>
      <c r="C19" s="14" t="n"/>
      <c r="D19" s="14" t="n"/>
      <c r="E19" s="14" t="n"/>
      <c r="F19" s="14" t="n"/>
      <c r="G19" s="14" t="n"/>
      <c r="H19" s="14" t="n"/>
    </row>
    <row r="20">
      <c r="A20" t="inlineStr"/>
      <c r="B20" t="inlineStr">
        <is>
          <t>Resend transactional email</t>
        </is>
      </c>
      <c r="C20" s="5" t="n">
        <v>20</v>
      </c>
      <c r="D20" s="5" t="n">
        <v>35</v>
      </c>
      <c r="E20" s="5" t="n">
        <v>50</v>
      </c>
      <c r="F20" s="5" t="n">
        <v>90</v>
      </c>
      <c r="G20" s="5" t="n">
        <v>150</v>
      </c>
      <c r="H20" s="5" t="n">
        <v>250</v>
      </c>
    </row>
    <row r="21">
      <c r="A21" t="inlineStr"/>
      <c r="B21" t="inlineStr">
        <is>
          <t>Twilio SMS (optional)</t>
        </is>
      </c>
      <c r="C21" s="5" t="n">
        <v>0</v>
      </c>
      <c r="D21" s="5" t="n">
        <v>40</v>
      </c>
      <c r="E21" s="5" t="n">
        <v>30</v>
      </c>
      <c r="F21" s="5" t="n">
        <v>100</v>
      </c>
      <c r="G21" s="5" t="n">
        <v>80</v>
      </c>
      <c r="H21" s="5" t="n">
        <v>200</v>
      </c>
    </row>
    <row r="22">
      <c r="A22" s="13" t="inlineStr">
        <is>
          <t>Storage</t>
        </is>
      </c>
      <c r="B22" s="14" t="n"/>
      <c r="C22" s="14" t="n"/>
      <c r="D22" s="14" t="n"/>
      <c r="E22" s="14" t="n"/>
      <c r="F22" s="14" t="n"/>
      <c r="G22" s="14" t="n"/>
      <c r="H22" s="14" t="n"/>
    </row>
    <row r="23">
      <c r="A23" t="inlineStr"/>
      <c r="B23" t="inlineStr">
        <is>
          <t>Object storage (S3/R2)</t>
        </is>
      </c>
      <c r="C23" s="5" t="n">
        <v>30</v>
      </c>
      <c r="D23" s="5" t="n">
        <v>60</v>
      </c>
      <c r="E23" s="5" t="n">
        <v>150</v>
      </c>
      <c r="F23" s="5" t="n">
        <v>300</v>
      </c>
      <c r="G23" s="5" t="n">
        <v>400</v>
      </c>
      <c r="H23" s="5" t="n">
        <v>700</v>
      </c>
    </row>
    <row r="24">
      <c r="A24" t="inlineStr"/>
      <c r="B24" t="inlineStr">
        <is>
          <t>CDN egress</t>
        </is>
      </c>
      <c r="C24" s="5" t="n">
        <v>10</v>
      </c>
      <c r="D24" s="5" t="n">
        <v>30</v>
      </c>
      <c r="E24" s="5" t="n">
        <v>40</v>
      </c>
      <c r="F24" s="5" t="n">
        <v>100</v>
      </c>
      <c r="G24" s="5" t="n">
        <v>100</v>
      </c>
      <c r="H24" s="5" t="n">
        <v>250</v>
      </c>
    </row>
    <row r="25">
      <c r="A25" s="13" t="inlineStr">
        <is>
          <t>Monitoring</t>
        </is>
      </c>
      <c r="B25" s="14" t="n"/>
      <c r="C25" s="14" t="n"/>
      <c r="D25" s="14" t="n"/>
      <c r="E25" s="14" t="n"/>
      <c r="F25" s="14" t="n"/>
      <c r="G25" s="14" t="n"/>
      <c r="H25" s="14" t="n"/>
    </row>
    <row r="26">
      <c r="A26" t="inlineStr"/>
      <c r="B26" t="inlineStr">
        <is>
          <t>Sentry (errors)</t>
        </is>
      </c>
      <c r="C26" s="5" t="n">
        <v>30</v>
      </c>
      <c r="D26" s="5" t="n">
        <v>50</v>
      </c>
      <c r="E26" s="5" t="n">
        <v>80</v>
      </c>
      <c r="F26" s="5" t="n">
        <v>150</v>
      </c>
      <c r="G26" s="5" t="n">
        <v>150</v>
      </c>
      <c r="H26" s="5" t="n">
        <v>300</v>
      </c>
    </row>
    <row r="27">
      <c r="A27" t="inlineStr"/>
      <c r="B27" t="inlineStr">
        <is>
          <t>Datadog / Logtail (APM + logs)</t>
        </is>
      </c>
      <c r="C27" s="5" t="n">
        <v>50</v>
      </c>
      <c r="D27" s="5" t="n">
        <v>70</v>
      </c>
      <c r="E27" s="5" t="n">
        <v>120</v>
      </c>
      <c r="F27" s="5" t="n">
        <v>250</v>
      </c>
      <c r="G27" s="5" t="n">
        <v>350</v>
      </c>
      <c r="H27" s="5" t="n">
        <v>600</v>
      </c>
    </row>
    <row r="28">
      <c r="A28" s="13" t="inlineStr">
        <is>
          <t>Security</t>
        </is>
      </c>
      <c r="B28" s="14" t="n"/>
      <c r="C28" s="14" t="n"/>
      <c r="D28" s="14" t="n"/>
      <c r="E28" s="14" t="n"/>
      <c r="F28" s="14" t="n"/>
      <c r="G28" s="14" t="n"/>
      <c r="H28" s="14" t="n"/>
    </row>
    <row r="29">
      <c r="A29" t="inlineStr"/>
      <c r="B29" t="inlineStr">
        <is>
          <t>Vanta / Drata (SOC 2 tooling)</t>
        </is>
      </c>
      <c r="C29" s="5" t="n">
        <v>0</v>
      </c>
      <c r="D29" s="5" t="n">
        <v>0</v>
      </c>
      <c r="E29" s="5" t="n">
        <v>0</v>
      </c>
      <c r="F29" s="5" t="n">
        <v>200</v>
      </c>
      <c r="G29" s="5" t="n">
        <v>500</v>
      </c>
      <c r="H29" s="5" t="n">
        <v>800</v>
      </c>
    </row>
    <row r="30">
      <c r="A30" t="inlineStr"/>
      <c r="B30" t="inlineStr">
        <is>
          <t>Snyk / dep scanning</t>
        </is>
      </c>
      <c r="C30" s="5" t="n">
        <v>0</v>
      </c>
      <c r="D30" s="5" t="n">
        <v>30</v>
      </c>
      <c r="E30" s="5" t="n">
        <v>30</v>
      </c>
      <c r="F30" s="5" t="n">
        <v>60</v>
      </c>
      <c r="G30" s="5" t="n">
        <v>60</v>
      </c>
      <c r="H30" s="5" t="n">
        <v>120</v>
      </c>
    </row>
    <row r="31">
      <c r="A31" s="13" t="inlineStr">
        <is>
          <t>Support</t>
        </is>
      </c>
      <c r="B31" s="14" t="n"/>
      <c r="C31" s="14" t="n"/>
      <c r="D31" s="14" t="n"/>
      <c r="E31" s="14" t="n"/>
      <c r="F31" s="14" t="n"/>
      <c r="G31" s="14" t="n"/>
      <c r="H31" s="14" t="n"/>
    </row>
    <row r="32">
      <c r="A32" t="inlineStr"/>
      <c r="B32" t="inlineStr">
        <is>
          <t>Intercom / Help Scout</t>
        </is>
      </c>
      <c r="C32" s="5" t="n">
        <v>0</v>
      </c>
      <c r="D32" s="5" t="n">
        <v>100</v>
      </c>
      <c r="E32" s="5" t="n">
        <v>100</v>
      </c>
      <c r="F32" s="5" t="n">
        <v>300</v>
      </c>
      <c r="G32" s="5" t="n">
        <v>300</v>
      </c>
      <c r="H32" s="5" t="n">
        <v>700</v>
      </c>
    </row>
    <row r="33">
      <c r="A33" t="inlineStr"/>
      <c r="B33" t="inlineStr">
        <is>
          <t>Status page (Statuspage.io)</t>
        </is>
      </c>
      <c r="C33" s="5" t="n">
        <v>0</v>
      </c>
      <c r="D33" s="5" t="n">
        <v>30</v>
      </c>
      <c r="E33" s="5" t="n">
        <v>30</v>
      </c>
      <c r="F33" s="5" t="n">
        <v>60</v>
      </c>
      <c r="G33" s="5" t="n">
        <v>60</v>
      </c>
      <c r="H33" s="5" t="n">
        <v>120</v>
      </c>
    </row>
    <row r="34">
      <c r="A34" s="13" t="inlineStr">
        <is>
          <t>Ops</t>
        </is>
      </c>
      <c r="B34" s="14" t="n"/>
      <c r="C34" s="14" t="n"/>
      <c r="D34" s="14" t="n"/>
      <c r="E34" s="14" t="n"/>
      <c r="F34" s="14" t="n"/>
      <c r="G34" s="14" t="n"/>
      <c r="H34" s="14" t="n"/>
    </row>
    <row r="35">
      <c r="A35" t="inlineStr"/>
      <c r="B35" t="inlineStr">
        <is>
          <t>Domain, DNS, Cloudflare</t>
        </is>
      </c>
      <c r="C35" s="5" t="n">
        <v>20</v>
      </c>
      <c r="D35" s="5" t="n">
        <v>40</v>
      </c>
      <c r="E35" s="5" t="n">
        <v>30</v>
      </c>
      <c r="F35" s="5" t="n">
        <v>60</v>
      </c>
      <c r="G35" s="5" t="n">
        <v>50</v>
      </c>
      <c r="H35" s="5" t="n">
        <v>100</v>
      </c>
    </row>
    <row r="36">
      <c r="A36" t="inlineStr"/>
      <c r="B36" t="inlineStr">
        <is>
          <t>Password manager, misc SaaS</t>
        </is>
      </c>
      <c r="C36" s="5" t="n">
        <v>20</v>
      </c>
      <c r="D36" s="5" t="n">
        <v>40</v>
      </c>
      <c r="E36" s="5" t="n">
        <v>40</v>
      </c>
      <c r="F36" s="5" t="n">
        <v>80</v>
      </c>
      <c r="G36" s="5" t="n">
        <v>60</v>
      </c>
      <c r="H36" s="5" t="n">
        <v>150</v>
      </c>
    </row>
    <row r="38">
      <c r="A38" s="10" t="inlineStr">
        <is>
          <t>TOTAL</t>
        </is>
      </c>
      <c r="B38" s="10" t="inlineStr">
        <is>
          <t>Sum of all line items</t>
        </is>
      </c>
      <c r="C38" s="11">
        <f>SUMIF(B4:B36, "&lt;&gt;", C4:C36)</f>
        <v/>
      </c>
      <c r="D38" s="11">
        <f>SUMIF(B4:B36, "&lt;&gt;", D4:D36)</f>
        <v/>
      </c>
      <c r="E38" s="11">
        <f>SUMIF(B4:B36, "&lt;&gt;", E4:E36)</f>
        <v/>
      </c>
      <c r="F38" s="11">
        <f>SUMIF(B4:B36, "&lt;&gt;", F4:F36)</f>
        <v/>
      </c>
      <c r="G38" s="11">
        <f>SUMIF(B4:B36, "&lt;&gt;", G4:G36)</f>
        <v/>
      </c>
      <c r="H38" s="11">
        <f>SUMIF(B4:B36, "&lt;&gt;", H4:H36)</f>
        <v/>
      </c>
    </row>
    <row r="40">
      <c r="A40" t="inlineStr">
        <is>
          <t>Per-user cost</t>
        </is>
      </c>
      <c r="B40" t="inlineStr">
        <is>
          <t>Cost / paid user</t>
        </is>
      </c>
      <c r="C40" s="15">
        <f>C38/500</f>
        <v/>
      </c>
      <c r="D40" s="15">
        <f>D38/500</f>
        <v/>
      </c>
      <c r="E40" s="15">
        <f>E38/1500</f>
        <v/>
      </c>
      <c r="F40" s="15">
        <f>F38/1500</f>
        <v/>
      </c>
      <c r="G40" s="15">
        <f>G38/3000</f>
        <v/>
      </c>
      <c r="H40" s="15">
        <f>H38/3000</f>
        <v/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9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2" t="inlineStr">
        <is>
          <t>AI Cost Forecasting — Per-Operation &amp; Per-User</t>
        </is>
      </c>
    </row>
    <row r="3">
      <c r="A3" s="9" t="inlineStr">
        <is>
          <t>Section A — Cost per operation (Emergent LLM Key, Feb 2026)</t>
        </is>
      </c>
    </row>
    <row r="4">
      <c r="A4" s="3" t="inlineStr">
        <is>
          <t>Operation</t>
        </is>
      </c>
      <c r="B4" s="3" t="inlineStr">
        <is>
          <t>Model</t>
        </is>
      </c>
      <c r="C4" s="3" t="inlineStr">
        <is>
          <t>Avg tokens in</t>
        </is>
      </c>
      <c r="D4" s="3" t="inlineStr">
        <is>
          <t>Avg tokens out</t>
        </is>
      </c>
      <c r="E4" s="3" t="inlineStr">
        <is>
          <t>Cost per call (mid)</t>
        </is>
      </c>
    </row>
    <row r="5">
      <c r="A5" t="inlineStr">
        <is>
          <t>Transaction categorisation</t>
        </is>
      </c>
      <c r="B5" t="inlineStr">
        <is>
          <t>GPT-5.4 Mini</t>
        </is>
      </c>
      <c r="C5" t="n">
        <v>600</v>
      </c>
      <c r="D5" t="n">
        <v>80</v>
      </c>
      <c r="E5" s="16" t="n">
        <v>0.0015</v>
      </c>
    </row>
    <row r="6">
      <c r="A6" t="inlineStr">
        <is>
          <t>Batch categorise (10 txns)</t>
        </is>
      </c>
      <c r="B6" t="inlineStr">
        <is>
          <t>GPT-5.4 Mini</t>
        </is>
      </c>
      <c r="C6" t="n">
        <v>3000</v>
      </c>
      <c r="D6" t="n">
        <v>400</v>
      </c>
      <c r="E6" s="16" t="n">
        <v>0.0065</v>
      </c>
    </row>
    <row r="7">
      <c r="A7" t="inlineStr">
        <is>
          <t>Voice STT (10s clip)</t>
        </is>
      </c>
      <c r="B7" t="inlineStr">
        <is>
          <t>Whisper</t>
        </is>
      </c>
      <c r="C7" t="n">
        <v>0</v>
      </c>
      <c r="D7" t="n">
        <v>0</v>
      </c>
      <c r="E7" s="16" t="n">
        <v>0.001</v>
      </c>
    </row>
    <row r="8">
      <c r="A8" t="inlineStr">
        <is>
          <t>Voice intent parse</t>
        </is>
      </c>
      <c r="B8" t="inlineStr">
        <is>
          <t>GPT-5.4 Mini</t>
        </is>
      </c>
      <c r="C8" t="n">
        <v>400</v>
      </c>
      <c r="D8" t="n">
        <v>50</v>
      </c>
      <c r="E8" s="16" t="n">
        <v>0.0008</v>
      </c>
    </row>
    <row r="9">
      <c r="A9" t="inlineStr">
        <is>
          <t>Chat message (dashboard AI)</t>
        </is>
      </c>
      <c r="B9" t="inlineStr">
        <is>
          <t>Claude Haiku 4.5</t>
        </is>
      </c>
      <c r="C9" t="n">
        <v>2000</v>
      </c>
      <c r="D9" t="n">
        <v>400</v>
      </c>
      <c r="E9" s="16" t="n">
        <v>0.01</v>
      </c>
    </row>
    <row r="10">
      <c r="A10" t="inlineStr">
        <is>
          <t>Long-form insight report</t>
        </is>
      </c>
      <c r="B10" t="inlineStr">
        <is>
          <t>Claude Sonnet 5</t>
        </is>
      </c>
      <c r="C10" t="n">
        <v>8000</v>
      </c>
      <c r="D10" t="n">
        <v>2000</v>
      </c>
      <c r="E10" s="16" t="n">
        <v>0.1</v>
      </c>
    </row>
    <row r="11">
      <c r="A11" t="inlineStr">
        <is>
          <t>QBO Verify (PDF extract)</t>
        </is>
      </c>
      <c r="B11" t="inlineStr">
        <is>
          <t>Claude Sonnet 5</t>
        </is>
      </c>
      <c r="C11" t="n">
        <v>15000</v>
      </c>
      <c r="D11" t="n">
        <v>3000</v>
      </c>
      <c r="E11" s="16" t="n">
        <v>0.2</v>
      </c>
    </row>
    <row r="12">
      <c r="A12" t="inlineStr">
        <is>
          <t>Anomaly detection sweep</t>
        </is>
      </c>
      <c r="B12" t="inlineStr">
        <is>
          <t>GPT-5.4 Mini</t>
        </is>
      </c>
      <c r="C12" t="n">
        <v>4000</v>
      </c>
      <c r="D12" t="n">
        <v>300</v>
      </c>
      <c r="E12" s="16" t="n">
        <v>0.006</v>
      </c>
    </row>
    <row r="13">
      <c r="A13" t="inlineStr">
        <is>
          <t>Onboarding interview</t>
        </is>
      </c>
      <c r="B13" t="inlineStr">
        <is>
          <t>GPT-5.4 Mini</t>
        </is>
      </c>
      <c r="C13" t="n">
        <v>3000</v>
      </c>
      <c r="D13" t="n">
        <v>800</v>
      </c>
      <c r="E13" s="16" t="n">
        <v>0.008</v>
      </c>
    </row>
    <row r="14">
      <c r="A14" t="inlineStr">
        <is>
          <t>Contact/merchant match</t>
        </is>
      </c>
      <c r="B14" t="inlineStr">
        <is>
          <t>GPT-5.4 Mini</t>
        </is>
      </c>
      <c r="C14" t="n">
        <v>500</v>
      </c>
      <c r="D14" t="n">
        <v>60</v>
      </c>
      <c r="E14" s="16" t="n">
        <v>0.0009</v>
      </c>
    </row>
    <row r="15">
      <c r="A15" t="inlineStr">
        <is>
          <t>Image / receipt (Nano Banana)</t>
        </is>
      </c>
      <c r="B15" t="inlineStr">
        <is>
          <t>Gemini 3.5 Flash</t>
        </is>
      </c>
      <c r="C15" t="n">
        <v>0</v>
      </c>
      <c r="D15" t="n">
        <v>200</v>
      </c>
      <c r="E15" s="16" t="n">
        <v>0.003</v>
      </c>
    </row>
    <row r="18">
      <c r="A18" s="9" t="inlineStr">
        <is>
          <t>Section B — Monthly AI usage by user segment</t>
        </is>
      </c>
    </row>
    <row r="19">
      <c r="A19" s="3" t="inlineStr">
        <is>
          <t>Segment</t>
        </is>
      </c>
      <c r="B19" s="3" t="inlineStr">
        <is>
          <t>% of users</t>
        </is>
      </c>
      <c r="C19" s="3" t="inlineStr">
        <is>
          <t>AI ops / mo</t>
        </is>
      </c>
      <c r="D19" s="3" t="inlineStr">
        <is>
          <t>$/user/mo (low)</t>
        </is>
      </c>
      <c r="E19" s="3" t="inlineStr">
        <is>
          <t>$/user/mo (high)</t>
        </is>
      </c>
    </row>
    <row r="20">
      <c r="A20" t="inlineStr">
        <is>
          <t>Free trial / dormant</t>
        </is>
      </c>
      <c r="B20" s="17" t="n">
        <v>0.3</v>
      </c>
      <c r="C20" s="18" t="n">
        <v>50</v>
      </c>
      <c r="D20" s="19" t="n">
        <v>0.1</v>
      </c>
      <c r="E20" s="19" t="n">
        <v>0.3</v>
      </c>
    </row>
    <row r="21">
      <c r="A21" t="inlineStr">
        <is>
          <t>Light client</t>
        </is>
      </c>
      <c r="B21" s="17" t="n">
        <v>0.35</v>
      </c>
      <c r="C21" s="18" t="n">
        <v>800</v>
      </c>
      <c r="D21" s="19" t="n">
        <v>1.2</v>
      </c>
      <c r="E21" s="19" t="n">
        <v>2</v>
      </c>
    </row>
    <row r="22">
      <c r="A22" t="inlineStr">
        <is>
          <t>Standard client</t>
        </is>
      </c>
      <c r="B22" s="17" t="n">
        <v>0.2</v>
      </c>
      <c r="C22" s="18" t="n">
        <v>3500</v>
      </c>
      <c r="D22" s="19" t="n">
        <v>2.5</v>
      </c>
      <c r="E22" s="19" t="n">
        <v>4.5</v>
      </c>
    </row>
    <row r="23">
      <c r="A23" t="inlineStr">
        <is>
          <t>Power client</t>
        </is>
      </c>
      <c r="B23" s="17" t="n">
        <v>0.08</v>
      </c>
      <c r="C23" s="18" t="n">
        <v>6000</v>
      </c>
      <c r="D23" s="19" t="n">
        <v>5</v>
      </c>
      <c r="E23" s="19" t="n">
        <v>9</v>
      </c>
    </row>
    <row r="24">
      <c r="A24" t="inlineStr">
        <is>
          <t>Pro (10 clients)</t>
        </is>
      </c>
      <c r="B24" s="17" t="n">
        <v>0.05</v>
      </c>
      <c r="C24" s="18" t="n">
        <v>25000</v>
      </c>
      <c r="D24" s="19" t="n">
        <v>15</v>
      </c>
      <c r="E24" s="19" t="n">
        <v>30</v>
      </c>
    </row>
    <row r="25">
      <c r="A25" t="inlineStr">
        <is>
          <t>Pro power (30 clients)</t>
        </is>
      </c>
      <c r="B25" s="17" t="n">
        <v>0.02</v>
      </c>
      <c r="C25" s="18" t="n">
        <v>60000</v>
      </c>
      <c r="D25" s="19" t="n">
        <v>35</v>
      </c>
      <c r="E25" s="19" t="n">
        <v>70</v>
      </c>
    </row>
    <row r="28">
      <c r="A28" s="9" t="inlineStr">
        <is>
          <t>Section C — AI cost forecast by tier (mid-point)</t>
        </is>
      </c>
    </row>
    <row r="29">
      <c r="A29" s="3" t="inlineStr">
        <is>
          <t>Segment</t>
        </is>
      </c>
      <c r="B29" s="3" t="inlineStr">
        <is>
          <t>500 users</t>
        </is>
      </c>
      <c r="C29" s="3" t="inlineStr">
        <is>
          <t>1,500 users</t>
        </is>
      </c>
      <c r="D29" s="3" t="inlineStr">
        <is>
          <t>3,000 users</t>
        </is>
      </c>
      <c r="E29" s="3" t="inlineStr">
        <is>
          <t>Mid $/user/mo</t>
        </is>
      </c>
    </row>
    <row r="30">
      <c r="A30" t="inlineStr">
        <is>
          <t>Free trial / dormant</t>
        </is>
      </c>
      <c r="B30" s="5" t="n">
        <v>30</v>
      </c>
      <c r="C30" s="5" t="n">
        <v>90</v>
      </c>
      <c r="D30" s="5" t="n">
        <v>180</v>
      </c>
      <c r="E30" s="19" t="n">
        <v>0.2</v>
      </c>
    </row>
    <row r="31">
      <c r="A31" t="inlineStr">
        <is>
          <t>Light client</t>
        </is>
      </c>
      <c r="B31" s="5" t="n">
        <v>280</v>
      </c>
      <c r="C31" s="5" t="n">
        <v>840</v>
      </c>
      <c r="D31" s="5" t="n">
        <v>1680</v>
      </c>
      <c r="E31" s="19" t="n">
        <v>1.6</v>
      </c>
    </row>
    <row r="32">
      <c r="A32" t="inlineStr">
        <is>
          <t>Standard client</t>
        </is>
      </c>
      <c r="B32" s="5" t="n">
        <v>350</v>
      </c>
      <c r="C32" s="5" t="n">
        <v>1050</v>
      </c>
      <c r="D32" s="5" t="n">
        <v>2100</v>
      </c>
      <c r="E32" s="19" t="n">
        <v>3.5</v>
      </c>
    </row>
    <row r="33">
      <c r="A33" t="inlineStr">
        <is>
          <t>Power client</t>
        </is>
      </c>
      <c r="B33" s="5" t="n">
        <v>280</v>
      </c>
      <c r="C33" s="5" t="n">
        <v>840</v>
      </c>
      <c r="D33" s="5" t="n">
        <v>1680</v>
      </c>
      <c r="E33" s="19" t="n">
        <v>7</v>
      </c>
    </row>
    <row r="34">
      <c r="A34" t="inlineStr">
        <is>
          <t>Pro (10 clients)</t>
        </is>
      </c>
      <c r="B34" s="5" t="n">
        <v>562.5</v>
      </c>
      <c r="C34" s="5" t="n">
        <v>1687.5</v>
      </c>
      <c r="D34" s="5" t="n">
        <v>3375</v>
      </c>
      <c r="E34" s="19" t="n">
        <v>22.5</v>
      </c>
    </row>
    <row r="35">
      <c r="A35" t="inlineStr">
        <is>
          <t>Pro power (30 clients)</t>
        </is>
      </c>
      <c r="B35" s="5" t="n">
        <v>525</v>
      </c>
      <c r="C35" s="5" t="n">
        <v>1575</v>
      </c>
      <c r="D35" s="5" t="n">
        <v>3150</v>
      </c>
      <c r="E35" s="19" t="n">
        <v>52.5</v>
      </c>
    </row>
    <row r="36">
      <c r="A36" s="10" t="inlineStr">
        <is>
          <t>AI TOTAL (base)</t>
        </is>
      </c>
      <c r="B36" s="11">
        <f>SUM(B30:B35)</f>
        <v/>
      </c>
      <c r="C36" s="11">
        <f>SUM(C30:C35)</f>
        <v/>
      </c>
      <c r="D36" s="11">
        <f>SUM(D30:D35)</f>
        <v/>
      </c>
      <c r="E36" s="10" t="n"/>
    </row>
    <row r="37">
      <c r="A37" t="inlineStr">
        <is>
          <t>AI TOTAL (+ 20% overhead: retries, dev, demos)</t>
        </is>
      </c>
      <c r="B37" s="20">
        <f>B36*1.2</f>
        <v/>
      </c>
      <c r="C37" s="20">
        <f>C36*1.2</f>
        <v/>
      </c>
      <c r="D37" s="20">
        <f>D36*1.2</f>
        <v/>
      </c>
    </row>
    <row r="40">
      <c r="A40" s="9" t="inlineStr">
        <is>
          <t>Section D — Optimisation levers (savings on 'no-optimisation' number)</t>
        </is>
      </c>
    </row>
    <row r="41">
      <c r="A41" s="3" t="inlineStr">
        <is>
          <t>Lever</t>
        </is>
      </c>
      <c r="B41" s="3" t="inlineStr">
        <is>
          <t>Savings</t>
        </is>
      </c>
      <c r="C41" s="3" t="inlineStr">
        <is>
          <t>Effort</t>
        </is>
      </c>
      <c r="D41" s="3" t="n"/>
      <c r="E41" s="3" t="n"/>
    </row>
    <row r="42">
      <c r="A42" t="inlineStr">
        <is>
          <t>Route classification through GPT-5.4 Mini not 5.6</t>
        </is>
      </c>
      <c r="B42" s="21" t="n">
        <v>-0.35</v>
      </c>
      <c r="C42" t="inlineStr">
        <is>
          <t>Low (verify)</t>
        </is>
      </c>
    </row>
    <row r="43">
      <c r="A43" t="inlineStr">
        <is>
          <t>Cache repeat classifications by (merchant + amount)</t>
        </is>
      </c>
      <c r="B43" s="21" t="n">
        <v>-0.15</v>
      </c>
      <c r="C43" t="inlineStr">
        <is>
          <t>Low (2 days)</t>
        </is>
      </c>
    </row>
    <row r="44">
      <c r="A44" t="inlineStr">
        <is>
          <t>Batch small ops (10 txns/call)</t>
        </is>
      </c>
      <c r="B44" s="21" t="n">
        <v>-0.25</v>
      </c>
      <c r="C44" t="inlineStr">
        <is>
          <t>Medium</t>
        </is>
      </c>
    </row>
    <row r="45">
      <c r="A45" t="inlineStr">
        <is>
          <t>Claude Haiku 4.5 for chat (Sonnet 5 for reports only)</t>
        </is>
      </c>
      <c r="B45" s="21" t="n">
        <v>-0.2</v>
      </c>
      <c r="C45" t="inlineStr">
        <is>
          <t>Low</t>
        </is>
      </c>
    </row>
    <row r="46">
      <c r="A46" t="inlineStr">
        <is>
          <t>Precompute nightly insight summaries</t>
        </is>
      </c>
      <c r="B46" s="21" t="n">
        <v>-0.15</v>
      </c>
      <c r="C46" t="inlineStr">
        <is>
          <t>Medium</t>
        </is>
      </c>
    </row>
    <row r="47">
      <c r="A47" t="inlineStr">
        <is>
          <t>Rate-limit AI Ask per user per day (20/day cap)</t>
        </is>
      </c>
      <c r="B47" s="21" t="n">
        <v>-0.08</v>
      </c>
      <c r="C47" t="inlineStr">
        <is>
          <t>Trivial</t>
        </is>
      </c>
    </row>
    <row r="48">
      <c r="A48" t="inlineStr">
        <is>
          <t>Nano Banana only when user attaches image</t>
        </is>
      </c>
      <c r="B48" s="21" t="n">
        <v>-0.03</v>
      </c>
      <c r="C48" t="inlineStr">
        <is>
          <t>Done</t>
        </is>
      </c>
    </row>
    <row r="49">
      <c r="A49" s="10" t="inlineStr">
        <is>
          <t>Realistic combined savings (overlapping)</t>
        </is>
      </c>
      <c r="B49" s="22" t="n">
        <v>-0.45</v>
      </c>
      <c r="C49" s="10" t="inlineStr">
        <is>
          <t>Stacked, non-additive</t>
        </is>
      </c>
      <c r="D49" s="10" t="n"/>
      <c r="E49" s="10" t="n"/>
    </row>
  </sheetData>
  <mergeCells count="5">
    <mergeCell ref="A28:E28"/>
    <mergeCell ref="A1:E1"/>
    <mergeCell ref="A40:E40"/>
    <mergeCell ref="A18:E18"/>
    <mergeCell ref="A3:E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1"/>
  <sheetViews>
    <sheetView workbookViewId="0">
      <selection activeCell="A1" sqref="A1"/>
    </sheetView>
  </sheetViews>
  <sheetFormatPr baseColWidth="8" defaultRowHeight="15"/>
  <cols>
    <col width="46" customWidth="1" min="1" max="1"/>
    <col width="18" customWidth="1" min="2" max="2"/>
    <col width="18" customWidth="1" min="3" max="3"/>
    <col width="24" customWidth="1" min="4" max="4"/>
  </cols>
  <sheetData>
    <row r="1">
      <c r="A1" s="12" t="inlineStr">
        <is>
          <t>Legal, Compliance &amp; Certifications</t>
        </is>
      </c>
    </row>
    <row r="3">
      <c r="A3" s="9" t="inlineStr">
        <is>
          <t>A. UK — HMRC MTD Recognition</t>
        </is>
      </c>
    </row>
    <row r="4">
      <c r="A4" s="3" t="inlineStr">
        <is>
          <t>Item</t>
        </is>
      </c>
      <c r="B4" s="3" t="inlineStr">
        <is>
          <t>Cost low</t>
        </is>
      </c>
      <c r="C4" s="3" t="inlineStr">
        <is>
          <t>Cost high</t>
        </is>
      </c>
      <c r="D4" s="3" t="inlineStr">
        <is>
          <t>Timing</t>
        </is>
      </c>
      <c r="E4" s="3" t="n"/>
    </row>
    <row r="5">
      <c r="A5" t="inlineStr">
        <is>
          <t>HMRC Developer Hub sign-up</t>
        </is>
      </c>
      <c r="B5" s="5" t="n">
        <v>0</v>
      </c>
      <c r="C5" s="5" t="n">
        <v>0</v>
      </c>
      <c r="D5" t="inlineStr">
        <is>
          <t>1 day</t>
        </is>
      </c>
    </row>
    <row r="6">
      <c r="A6" t="inlineStr">
        <is>
          <t>Sandbox testing + Recognition (internal time)</t>
        </is>
      </c>
      <c r="B6" s="5" t="n">
        <v>0</v>
      </c>
      <c r="C6" s="5" t="n">
        <v>0</v>
      </c>
      <c r="D6" t="inlineStr">
        <is>
          <t>4-8 weeks</t>
        </is>
      </c>
    </row>
    <row r="7">
      <c r="A7" t="inlineStr">
        <is>
          <t>iXBRL taxonomy license (open)</t>
        </is>
      </c>
      <c r="B7" s="5" t="n">
        <v>0</v>
      </c>
      <c r="C7" s="5" t="n">
        <v>0</v>
      </c>
      <c r="D7" t="inlineStr">
        <is>
          <t>Ongoing</t>
        </is>
      </c>
    </row>
    <row r="8">
      <c r="A8" t="inlineStr">
        <is>
          <t>ICAEW/ACCA sponsor firm (recommended)</t>
        </is>
      </c>
      <c r="B8" s="5" t="n">
        <v>250</v>
      </c>
      <c r="C8" s="5" t="n">
        <v>1250</v>
      </c>
      <c r="D8" t="inlineStr">
        <is>
          <t>Optional</t>
        </is>
      </c>
    </row>
    <row r="9">
      <c r="A9" t="inlineStr">
        <is>
          <t>Solicitor review of UK terms of service</t>
        </is>
      </c>
      <c r="B9" s="5" t="n">
        <v>2250</v>
      </c>
      <c r="C9" s="5" t="n">
        <v>2500</v>
      </c>
      <c r="D9" t="inlineStr">
        <is>
          <t>2-3 weeks</t>
        </is>
      </c>
    </row>
    <row r="10">
      <c r="A10" t="inlineStr">
        <is>
          <t>GDPR / UK-GDPR DPO service</t>
        </is>
      </c>
      <c r="B10" s="5" t="n">
        <v>0</v>
      </c>
      <c r="C10" s="5" t="n">
        <v>4200</v>
      </c>
      <c r="D10" t="inlineStr">
        <is>
          <t>4 weeks</t>
        </is>
      </c>
    </row>
    <row r="12">
      <c r="A12" s="9" t="inlineStr">
        <is>
          <t>B. SOC 2 (US enterprise deals unlock)</t>
        </is>
      </c>
    </row>
    <row r="13">
      <c r="A13" s="3" t="inlineStr">
        <is>
          <t>Item</t>
        </is>
      </c>
      <c r="B13" s="3" t="inlineStr">
        <is>
          <t>Cost low</t>
        </is>
      </c>
      <c r="C13" s="3" t="inlineStr">
        <is>
          <t>Cost high</t>
        </is>
      </c>
      <c r="D13" s="3" t="inlineStr">
        <is>
          <t>Timing</t>
        </is>
      </c>
      <c r="E13" s="3" t="n"/>
    </row>
    <row r="14">
      <c r="A14" t="inlineStr">
        <is>
          <t>Vanta or Drata (annual)</t>
        </is>
      </c>
      <c r="B14" s="5" t="n">
        <v>9000</v>
      </c>
      <c r="C14" s="5" t="n">
        <v>15000</v>
      </c>
      <c r="D14" t="inlineStr">
        <is>
          <t>Ongoing</t>
        </is>
      </c>
    </row>
    <row r="15">
      <c r="A15" t="inlineStr">
        <is>
          <t>SOC 2 Type I audit (one-time)</t>
        </is>
      </c>
      <c r="B15" s="5" t="n">
        <v>12000</v>
      </c>
      <c r="C15" s="5" t="n">
        <v>20000</v>
      </c>
      <c r="D15" t="inlineStr">
        <is>
          <t>3-4 months</t>
        </is>
      </c>
    </row>
    <row r="16">
      <c r="A16" t="inlineStr">
        <is>
          <t>SOC 2 Type II audit (annual)</t>
        </is>
      </c>
      <c r="B16" s="5" t="n">
        <v>25000</v>
      </c>
      <c r="C16" s="5" t="n">
        <v>45000</v>
      </c>
      <c r="D16" t="inlineStr">
        <is>
          <t>12-month observation</t>
        </is>
      </c>
    </row>
    <row r="17">
      <c r="A17" t="inlineStr">
        <is>
          <t>Penetration test (annual)</t>
        </is>
      </c>
      <c r="B17" s="5" t="n">
        <v>6000</v>
      </c>
      <c r="C17" s="5" t="n">
        <v>12000</v>
      </c>
      <c r="D17" t="inlineStr">
        <is>
          <t>2 weeks</t>
        </is>
      </c>
    </row>
    <row r="18">
      <c r="A18" t="inlineStr">
        <is>
          <t>Employee security training (KnowBe4)</t>
        </is>
      </c>
      <c r="B18" s="5" t="n">
        <v>3000</v>
      </c>
      <c r="C18" s="5" t="n">
        <v>8000</v>
      </c>
      <c r="D18" t="inlineStr">
        <is>
          <t>Ongoing</t>
        </is>
      </c>
    </row>
    <row r="19">
      <c r="A19" t="inlineStr">
        <is>
          <t>Legal review of policies</t>
        </is>
      </c>
      <c r="B19" s="5" t="n">
        <v>3000</v>
      </c>
      <c r="C19" s="5" t="n">
        <v>8000</v>
      </c>
      <c r="D19" t="inlineStr">
        <is>
          <t>One-time</t>
        </is>
      </c>
    </row>
    <row r="21">
      <c r="A21" s="9" t="inlineStr">
        <is>
          <t>C. Other US compliance</t>
        </is>
      </c>
    </row>
    <row r="22">
      <c r="A22" s="3" t="inlineStr">
        <is>
          <t>Item</t>
        </is>
      </c>
      <c r="B22" s="3" t="inlineStr">
        <is>
          <t>Cost low</t>
        </is>
      </c>
      <c r="C22" s="3" t="inlineStr">
        <is>
          <t>Cost high</t>
        </is>
      </c>
      <c r="D22" s="3" t="inlineStr">
        <is>
          <t>Timing</t>
        </is>
      </c>
      <c r="E22" s="3" t="n"/>
    </row>
    <row r="23">
      <c r="A23" t="inlineStr">
        <is>
          <t>Business insurance (E&amp;O + Cyber)</t>
        </is>
      </c>
      <c r="B23" s="5" t="n">
        <v>3000</v>
      </c>
      <c r="C23" s="5" t="n">
        <v>8000</v>
      </c>
      <c r="D23" t="inlineStr">
        <is>
          <t>Day 1</t>
        </is>
      </c>
    </row>
    <row r="24">
      <c r="A24" t="inlineStr">
        <is>
          <t>PCI DSS SAQ-A (Stripe hosted)</t>
        </is>
      </c>
      <c r="B24" s="5" t="n">
        <v>0</v>
      </c>
      <c r="C24" s="5" t="n">
        <v>0</v>
      </c>
      <c r="D24" t="inlineStr">
        <is>
          <t>N/A</t>
        </is>
      </c>
    </row>
    <row r="25">
      <c r="A25" t="inlineStr">
        <is>
          <t>CCPA / State privacy law</t>
        </is>
      </c>
      <c r="B25" s="5" t="n">
        <v>2000</v>
      </c>
      <c r="C25" s="5" t="n">
        <v>5000</v>
      </c>
      <c r="D25" t="inlineStr">
        <is>
          <t>Before US launch</t>
        </is>
      </c>
    </row>
    <row r="26">
      <c r="A26" t="inlineStr">
        <is>
          <t>Delaware C-Corp franchise tax</t>
        </is>
      </c>
      <c r="B26" s="5" t="n">
        <v>400</v>
      </c>
      <c r="C26" s="5" t="n">
        <v>2000</v>
      </c>
      <c r="D26" t="inlineStr">
        <is>
          <t>Ongoing</t>
        </is>
      </c>
    </row>
    <row r="27">
      <c r="A27" t="inlineStr">
        <is>
          <t>Registered agent</t>
        </is>
      </c>
      <c r="B27" s="5" t="n">
        <v>150</v>
      </c>
      <c r="C27" s="5" t="n">
        <v>300</v>
      </c>
      <c r="D27" t="inlineStr">
        <is>
          <t>Ongoing</t>
        </is>
      </c>
    </row>
    <row r="28">
      <c r="A28" t="inlineStr">
        <is>
          <t>Trademark filings (US + UK)</t>
        </is>
      </c>
      <c r="B28" s="5" t="n">
        <v>1500</v>
      </c>
      <c r="C28" s="5" t="n">
        <v>3500</v>
      </c>
      <c r="D28" t="inlineStr">
        <is>
          <t>One-time</t>
        </is>
      </c>
    </row>
    <row r="30">
      <c r="A30" s="9" t="inlineStr">
        <is>
          <t>D. ISO 27001 (UK/EU enterprise, optional)</t>
        </is>
      </c>
    </row>
    <row r="31">
      <c r="A31" s="3" t="inlineStr">
        <is>
          <t>Item</t>
        </is>
      </c>
      <c r="B31" s="3" t="inlineStr">
        <is>
          <t>Cost low</t>
        </is>
      </c>
      <c r="C31" s="3" t="inlineStr">
        <is>
          <t>Cost high</t>
        </is>
      </c>
      <c r="D31" s="3" t="inlineStr">
        <is>
          <t>Timing</t>
        </is>
      </c>
      <c r="E31" s="3" t="n"/>
    </row>
    <row r="32">
      <c r="A32" t="inlineStr">
        <is>
          <t>ISO 27001 gap assessment</t>
        </is>
      </c>
      <c r="B32" s="5" t="n">
        <v>8000</v>
      </c>
      <c r="C32" s="5" t="n">
        <v>15000</v>
      </c>
      <c r="D32" t="inlineStr">
        <is>
          <t>Included in Vanta</t>
        </is>
      </c>
    </row>
    <row r="33">
      <c r="A33" t="inlineStr">
        <is>
          <t>Initial ISO 27001 certification audit</t>
        </is>
      </c>
      <c r="B33" s="5" t="n">
        <v>20000</v>
      </c>
      <c r="C33" s="5" t="n">
        <v>35000</v>
      </c>
      <c r="D33" t="inlineStr">
        <is>
          <t>6 months</t>
        </is>
      </c>
    </row>
    <row r="34">
      <c r="A34" t="inlineStr">
        <is>
          <t>Recertification audit (3-year)</t>
        </is>
      </c>
      <c r="B34" s="5" t="n">
        <v>15000</v>
      </c>
      <c r="C34" s="5" t="n">
        <v>25000</v>
      </c>
      <c r="D34" t="inlineStr">
        <is>
          <t>3-year cadence</t>
        </is>
      </c>
    </row>
    <row r="35">
      <c r="A35" t="inlineStr">
        <is>
          <t>Annual surveillance audit</t>
        </is>
      </c>
      <c r="B35" s="5" t="n">
        <v>8000</v>
      </c>
      <c r="C35" s="5" t="n">
        <v>12000</v>
      </c>
      <c r="D35" t="inlineStr">
        <is>
          <t>Ongoing</t>
        </is>
      </c>
    </row>
    <row r="37">
      <c r="A37" s="9" t="inlineStr">
        <is>
          <t>Compliance spend by user tier</t>
        </is>
      </c>
    </row>
    <row r="38">
      <c r="A38" s="3" t="inlineStr">
        <is>
          <t>Tier</t>
        </is>
      </c>
      <c r="B38" s="3" t="inlineStr">
        <is>
          <t>First-year add-on</t>
        </is>
      </c>
      <c r="C38" s="3" t="inlineStr">
        <is>
          <t>Recurring / year</t>
        </is>
      </c>
      <c r="D38" s="3" t="inlineStr">
        <is>
          <t>When to start</t>
        </is>
      </c>
      <c r="E38" s="3" t="n"/>
    </row>
    <row r="39">
      <c r="A39" s="4" t="inlineStr">
        <is>
          <t>500 users</t>
        </is>
      </c>
      <c r="B39" t="inlineStr">
        <is>
          <t>$6,500–18,500</t>
        </is>
      </c>
      <c r="C39" t="inlineStr">
        <is>
          <t>$9,000–23,000</t>
        </is>
      </c>
      <c r="D39" t="inlineStr">
        <is>
          <t>Insurance + basic legal</t>
        </is>
      </c>
    </row>
    <row r="40">
      <c r="A40" s="4" t="inlineStr">
        <is>
          <t>1,500 users</t>
        </is>
      </c>
      <c r="B40" t="inlineStr">
        <is>
          <t>$20,000–45,000</t>
        </is>
      </c>
      <c r="C40" t="inlineStr">
        <is>
          <t>$15,000–35,000</t>
        </is>
      </c>
      <c r="D40" t="inlineStr">
        <is>
          <t>Add Vanta + SOC 2 Type I</t>
        </is>
      </c>
    </row>
    <row r="41">
      <c r="A41" s="4" t="inlineStr">
        <is>
          <t>3,000 users</t>
        </is>
      </c>
      <c r="B41" t="inlineStr">
        <is>
          <t>$65,000–125,000</t>
        </is>
      </c>
      <c r="C41" t="inlineStr">
        <is>
          <t>$55,000–100,000</t>
        </is>
      </c>
      <c r="D41" t="inlineStr">
        <is>
          <t>Full SOC 2 Type II + MTD</t>
        </is>
      </c>
    </row>
  </sheetData>
  <mergeCells count="6">
    <mergeCell ref="A37:D37"/>
    <mergeCell ref="A12:D12"/>
    <mergeCell ref="A3:D3"/>
    <mergeCell ref="A30:D30"/>
    <mergeCell ref="A21:D21"/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cols>
    <col width="46" customWidth="1" min="1" max="1"/>
    <col width="18" customWidth="1" min="2" max="2"/>
    <col width="18" customWidth="1" min="3" max="3"/>
    <col width="18" customWidth="1" min="4" max="4"/>
  </cols>
  <sheetData>
    <row r="1">
      <c r="A1" s="12" t="inlineStr">
        <is>
          <t>Unit Economics — Investor-Ready</t>
        </is>
      </c>
    </row>
    <row r="3">
      <c r="A3" s="3" t="inlineStr">
        <is>
          <t>Metric</t>
        </is>
      </c>
      <c r="B3" s="3" t="inlineStr">
        <is>
          <t>500 users</t>
        </is>
      </c>
      <c r="C3" s="3" t="inlineStr">
        <is>
          <t>1,500 users</t>
        </is>
      </c>
      <c r="D3" s="3" t="inlineStr">
        <is>
          <t>3,000 users</t>
        </is>
      </c>
      <c r="E3" s="3" t="n"/>
      <c r="F3" s="3" t="n"/>
    </row>
    <row r="4">
      <c r="A4" t="inlineStr">
        <is>
          <t>Total monthly cost (mid)</t>
        </is>
      </c>
      <c r="B4" s="5" t="n">
        <v>4000</v>
      </c>
      <c r="C4" s="5" t="n">
        <v>11000</v>
      </c>
      <c r="D4" s="5" t="n">
        <v>26000</v>
      </c>
    </row>
    <row r="5">
      <c r="A5" t="inlineStr">
        <is>
          <t>Cost per user per month</t>
        </is>
      </c>
      <c r="B5" s="19" t="n">
        <v>8</v>
      </c>
      <c r="C5" s="19" t="n">
        <v>7.3</v>
      </c>
      <c r="D5" s="19" t="n">
        <v>8.6</v>
      </c>
    </row>
    <row r="6">
      <c r="A6" t="inlineStr">
        <is>
          <t>ARPU @ break-even (2x margin)</t>
        </is>
      </c>
      <c r="B6" s="6" t="n">
        <v>16</v>
      </c>
      <c r="C6" s="6" t="n">
        <v>15</v>
      </c>
      <c r="D6" s="6" t="n">
        <v>17</v>
      </c>
    </row>
    <row r="7">
      <c r="A7" t="inlineStr">
        <is>
          <t>ARPU @ healthy (4x margin)</t>
        </is>
      </c>
      <c r="B7" s="6" t="n">
        <v>32</v>
      </c>
      <c r="C7" s="6" t="n">
        <v>29</v>
      </c>
      <c r="D7" s="6" t="n">
        <v>34</v>
      </c>
    </row>
    <row r="8">
      <c r="A8" t="inlineStr">
        <is>
          <t>MRR @ 4x ARPU</t>
        </is>
      </c>
      <c r="B8" s="5" t="n">
        <v>16000</v>
      </c>
      <c r="C8" s="5" t="n">
        <v>44000</v>
      </c>
      <c r="D8" s="5" t="n">
        <v>103000</v>
      </c>
    </row>
    <row r="9">
      <c r="A9" t="inlineStr">
        <is>
          <t>Gross margin @ $35 ARPU</t>
        </is>
      </c>
      <c r="B9" s="17" t="n">
        <v>0.77</v>
      </c>
      <c r="C9" s="17" t="n">
        <v>0.79</v>
      </c>
      <c r="D9" s="17" t="n">
        <v>0.75</v>
      </c>
    </row>
    <row r="10">
      <c r="A10" t="inlineStr">
        <is>
          <t>Gross margin @ $50 ARPU</t>
        </is>
      </c>
      <c r="B10" s="17" t="n">
        <v>0.84</v>
      </c>
      <c r="C10" s="17" t="n">
        <v>0.85</v>
      </c>
      <c r="D10" s="17" t="n">
        <v>0.83</v>
      </c>
    </row>
    <row r="11">
      <c r="A11" t="inlineStr">
        <is>
          <t>Break-even active-user %</t>
        </is>
      </c>
      <c r="B11" s="17" t="n">
        <v>0.5</v>
      </c>
      <c r="C11" s="17" t="n">
        <v>0.47</v>
      </c>
      <c r="D11" s="17" t="n">
        <v>0.51</v>
      </c>
    </row>
    <row r="14">
      <c r="A14" s="7" t="inlineStr">
        <is>
          <t>PITCH-DECK ONE-LINER</t>
        </is>
      </c>
    </row>
    <row r="15" ht="30" customHeight="1">
      <c r="A15" s="8" t="inlineStr">
        <is>
          <t>At 3,000 users SmartBooks spends ~$26k/mo, generates ~$100k+ MRR at $34+/user, and holds 74%+ gross margin. AI is the largest variable cost at ~$7k/mo optimised. Every optimisation lever is a known technique with a known engineering budget.</t>
        </is>
      </c>
    </row>
    <row r="16" ht="30" customHeight="1"/>
    <row r="19">
      <c r="A19" s="9" t="inlineStr">
        <is>
          <t>Sensitivity — What moves the number?</t>
        </is>
      </c>
    </row>
    <row r="20">
      <c r="A20" s="3" t="inlineStr">
        <is>
          <t>Lever</t>
        </is>
      </c>
      <c r="B20" s="3" t="inlineStr">
        <is>
          <t>Impact at 3,000 users</t>
        </is>
      </c>
      <c r="C20" s="3" t="n"/>
      <c r="D20" s="3" t="n"/>
      <c r="E20" s="3" t="n"/>
      <c r="F20" s="3" t="n"/>
    </row>
    <row r="21">
      <c r="A21" t="inlineStr">
        <is>
          <t>Optimise AI (all 7 levers, -45%)</t>
        </is>
      </c>
      <c r="B21" s="23" t="inlineStr">
        <is>
          <t>-$3,150/mo</t>
        </is>
      </c>
    </row>
    <row r="22">
      <c r="A22" t="inlineStr">
        <is>
          <t>Miss an AI runaway loop for 24hrs</t>
        </is>
      </c>
      <c r="B22" s="24" t="inlineStr">
        <is>
          <t>+$500-$2,000 one-time</t>
        </is>
      </c>
    </row>
    <row r="23">
      <c r="A23" t="inlineStr">
        <is>
          <t>MongoDB missing an index → CPU spike</t>
        </is>
      </c>
      <c r="B23" s="24" t="inlineStr">
        <is>
          <t>+$500/mo (bigger tier)</t>
        </is>
      </c>
    </row>
    <row r="24">
      <c r="A24" t="inlineStr">
        <is>
          <t>Skip SOC 2 Type II</t>
        </is>
      </c>
      <c r="B24" s="23" t="inlineStr">
        <is>
          <t>-$3,000/mo (blocks enterprise)</t>
        </is>
      </c>
    </row>
    <row r="25">
      <c r="A25" t="inlineStr">
        <is>
          <t>Move Pros to a higher-priced tier ($75/user)</t>
        </is>
      </c>
      <c r="B25" s="23" t="inlineStr">
        <is>
          <t>+$3,000/mo revenue</t>
        </is>
      </c>
    </row>
    <row r="26">
      <c r="A26" t="inlineStr">
        <is>
          <t>10% conversion of demo visitors to paid</t>
        </is>
      </c>
      <c r="B26" s="23" t="inlineStr">
        <is>
          <t>+$5,000-$15,000/mo revenue</t>
        </is>
      </c>
    </row>
  </sheetData>
  <mergeCells count="4">
    <mergeCell ref="A15:D16"/>
    <mergeCell ref="A19:D19"/>
    <mergeCell ref="A1:F1"/>
    <mergeCell ref="A14:D1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2026-08-17T22:09:50Z</dcterms:created>
  <dcterms:modified xsi:type="dcterms:W3CDTF">2026-08-17T22:09:50Z</dcterms:modified>
</cp:coreProperties>
</file>